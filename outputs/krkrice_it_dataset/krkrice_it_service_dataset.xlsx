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67bc263980e49be" /></Relationships>
</file>

<file path=xl/workbook.xml><?xml version="1.0" encoding="utf-8"?>
<x:workbook xmlns:x="http://schemas.openxmlformats.org/spreadsheetml/2006/main">
  <x:sheets>
    <x:sheet xmlns:r="http://schemas.openxmlformats.org/officeDocument/2006/relationships" name="Overview" sheetId="1" r:id="R0cbf807e7fb14e38"/>
    <x:sheet xmlns:r="http://schemas.openxmlformats.org/officeDocument/2006/relationships" name="Employees" sheetId="2" r:id="R0c2a65be16ac4081"/>
    <x:sheet xmlns:r="http://schemas.openxmlformats.org/officeDocument/2006/relationships" name="Assets" sheetId="3" r:id="Re3c1a93a86b74178"/>
    <x:sheet xmlns:r="http://schemas.openxmlformats.org/officeDocument/2006/relationships" name="Systems" sheetId="4" r:id="R9e2a17643cc84205"/>
    <x:sheet xmlns:r="http://schemas.openxmlformats.org/officeDocument/2006/relationships" name="Agents" sheetId="5" r:id="R07a5f0a256d24e00"/>
    <x:sheet xmlns:r="http://schemas.openxmlformats.org/officeDocument/2006/relationships" name="Knowledge Base" sheetId="6" r:id="Rb0e6d3fcd0104be9"/>
    <x:sheet xmlns:r="http://schemas.openxmlformats.org/officeDocument/2006/relationships" name="Historical Tickets" sheetId="7" r:id="Rd565aea442e74139"/>
    <x:sheet xmlns:r="http://schemas.openxmlformats.org/officeDocument/2006/relationships" name="Data Dictionary" sheetId="8" r:id="Rc09f52ecd4814a4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
  </x:numFmts>
  <x:fonts count="8">
    <x:font>
      <x:sz val="11"/>
      <x:name val="Carlito"/>
    </x:font>
    <x:font>
      <x:b/>
      <x:sz val="18"/>
      <x:color rgb="FFFFFFFF"/>
      <x:name val="Carlito"/>
    </x:font>
    <x:font>
      <x:i/>
      <x:sz val="10"/>
      <x:color rgb="FF17324D"/>
      <x:name val="Carlito"/>
    </x:font>
    <x:font>
      <x:b/>
      <x:sz val="11"/>
      <x:color rgb="FFFFFFFF"/>
      <x:name val="Carlito"/>
    </x:font>
    <x:font>
      <x:sz val="10"/>
      <x:color rgb="FF1F2937"/>
      <x:name val="Carlito"/>
    </x:font>
    <x:font>
      <x:b/>
      <x:sz val="11"/>
      <x:color rgb="FF17324D"/>
      <x:name val="Carlito"/>
    </x:font>
    <x:font>
      <x:sz val="11"/>
      <x:color rgb="FF17324D"/>
      <x:name val="Carlito"/>
    </x:font>
    <x:font>
      <x:sz val="10"/>
      <x:color rgb="FF334155"/>
      <x:name val="Carlito"/>
    </x:font>
  </x:fonts>
  <x:fills count="9">
    <x:fill>
      <x:patternFill patternType="none"/>
    </x:fill>
    <x:fill>
      <x:patternFill patternType="gray125"/>
    </x:fill>
    <x:fill>
      <x:patternFill patternType="solid">
        <x:fgColor rgb="FF17324D"/>
      </x:patternFill>
    </x:fill>
    <x:fill>
      <x:patternFill patternType="solid">
        <x:fgColor rgb="FFE7F3EC"/>
      </x:patternFill>
    </x:fill>
    <x:fill>
      <x:patternFill patternType="solid">
        <x:fgColor rgb="FF2E7D5B"/>
      </x:patternFill>
    </x:fill>
    <x:fill>
      <x:patternFill patternType="solid">
        <x:fgColor rgb="FFFFFFFF"/>
      </x:patternFill>
    </x:fill>
    <x:fill>
      <x:patternFill patternType="solid">
        <x:fgColor rgb="FFD5A021"/>
      </x:patternFill>
    </x:fill>
    <x:fill>
      <x:patternFill patternType="solid">
        <x:fgColor rgb="FFFFF4D6"/>
      </x:patternFill>
    </x:fill>
    <x:fill>
      <x:patternFill patternType="solid">
        <x:fgColor rgb="FFF3F6F8"/>
      </x:patternFill>
    </x:fill>
  </x:fills>
  <x:borders count="12">
    <x:border/>
    <x:border>
      <x:bottom style="thin">
        <x:color rgb="FFCBD5E1"/>
      </x:bottom>
    </x:border>
    <x:border>
      <x:top style="thin">
        <x:color rgb="FFCBD5E1"/>
      </x:top>
      <x:bottom style="thin">
        <x:color rgb="FFCBD5E1"/>
      </x:bottom>
    </x:border>
    <x:border>
      <x:top style="thin">
        <x:color rgb="FFCBD5E1"/>
      </x:top>
    </x:border>
    <x:border>
      <x:left style="thin">
        <x:color rgb="FFD5A021"/>
      </x:left>
      <x:top style="thin">
        <x:color rgb="FFD5A021"/>
      </x:top>
    </x:border>
    <x:border>
      <x:top style="thin">
        <x:color rgb="FFD5A021"/>
      </x:top>
    </x:border>
    <x:border>
      <x:right style="thin">
        <x:color rgb="FFD5A021"/>
      </x:right>
      <x:top style="thin">
        <x:color rgb="FFD5A021"/>
      </x:top>
    </x:border>
    <x:border>
      <x:left style="thin">
        <x:color rgb="FFD5A021"/>
      </x:left>
    </x:border>
    <x:border>
      <x:right style="thin">
        <x:color rgb="FFD5A021"/>
      </x:right>
    </x:border>
    <x:border>
      <x:left style="thin">
        <x:color rgb="FFD5A021"/>
      </x:left>
      <x:bottom style="thin">
        <x:color rgb="FFD5A021"/>
      </x:bottom>
    </x:border>
    <x:border>
      <x:bottom style="thin">
        <x:color rgb="FFD5A021"/>
      </x:bottom>
    </x:border>
    <x:border>
      <x:right style="thin">
        <x:color rgb="FFD5A021"/>
      </x:right>
      <x:bottom style="thin">
        <x:color rgb="FFD5A021"/>
      </x:bottom>
    </x:border>
  </x:borders>
  <x:cellStyleXfs count="1">
    <x:xf numFmtId="0" fontId="0" fillId="0" borderId="0"/>
  </x:cellStyleXfs>
  <x:cellXfs count="8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1" xfId="0" applyNumberFormat="1" applyFont="1" applyFill="1" applyBorder="1" applyAlignment="1">
      <x:alignment vertical="top"/>
    </x:xf>
    <x:xf numFmtId="0" fontId="4" fillId="0" borderId="2" xfId="0" applyNumberFormat="1" applyFont="1" applyFill="1" applyBorder="1" applyAlignment="1">
      <x:alignment vertical="top"/>
    </x:xf>
    <x:xf numFmtId="0" fontId="4" fillId="0" borderId="3" xfId="0" applyNumberFormat="1" applyFont="1" applyFill="1" applyBorder="1" applyAlignment="1">
      <x:alignment vertical="top"/>
    </x:xf>
    <x:xf numFmtId="200" fontId="4" fillId="0" borderId="1" xfId="0" applyNumberFormat="1" applyFont="1" applyFill="1" applyBorder="1" applyAlignment="1">
      <x:alignment vertical="top"/>
    </x:xf>
    <x:xf numFmtId="200" fontId="4" fillId="0" borderId="2" xfId="0" applyNumberFormat="1" applyFont="1" applyFill="1" applyBorder="1" applyAlignment="1">
      <x:alignment vertical="top"/>
    </x:xf>
    <x:xf numFmtId="200" fontId="4" fillId="0" borderId="3" xfId="0" applyNumberFormat="1" applyFont="1" applyFill="1" applyBorder="1" applyAlignment="1">
      <x:alignment vertical="top"/>
    </x:xf>
    <x:xf numFmtId="201" fontId="4" fillId="0" borderId="1" xfId="0" applyNumberFormat="1" applyFont="1" applyFill="1" applyBorder="1" applyAlignment="1">
      <x:alignment vertical="top"/>
    </x:xf>
    <x:xf numFmtId="201" fontId="4" fillId="0" borderId="2" xfId="0" applyNumberFormat="1" applyFont="1" applyFill="1" applyBorder="1" applyAlignment="1">
      <x:alignment vertical="top"/>
    </x:xf>
    <x:xf numFmtId="201" fontId="4" fillId="0" borderId="3" xfId="0" applyNumberFormat="1" applyFont="1" applyFill="1" applyBorder="1" applyAlignment="1">
      <x:alignment vertical="top"/>
    </x:xf>
    <x:xf numFmtId="0" fontId="0" fillId="5" borderId="0" xfId="0" applyNumberFormat="1" applyFont="1" applyFill="1" applyBorder="1"/>
    <x:xf numFmtId="0" fontId="0" fillId="5" borderId="1" xfId="0" applyNumberFormat="1" applyFont="1" applyFill="1" applyBorder="1"/>
    <x:xf numFmtId="0" fontId="0" fillId="5" borderId="2" xfId="0" applyNumberFormat="1" applyFont="1" applyFill="1" applyBorder="1"/>
    <x:xf numFmtId="0" fontId="0" fillId="5" borderId="3" xfId="0" applyNumberFormat="1" applyFont="1" applyFill="1" applyBorder="1"/>
    <x:xf numFmtId="0" fontId="5" fillId="5" borderId="1" xfId="0" applyNumberFormat="1" applyFont="1" applyFill="1" applyBorder="1"/>
    <x:xf numFmtId="0" fontId="5" fillId="5" borderId="2" xfId="0" applyNumberFormat="1" applyFont="1" applyFill="1" applyBorder="1"/>
    <x:xf numFmtId="0" fontId="5" fillId="5" borderId="3" xfId="0" applyNumberFormat="1" applyFont="1" applyFill="1" applyBorder="1"/>
    <x:xf numFmtId="202" fontId="5" fillId="5" borderId="1" xfId="0" applyNumberFormat="1" applyFont="1" applyFill="1" applyBorder="1"/>
    <x:xf numFmtId="202" fontId="5" fillId="5" borderId="2" xfId="0" applyNumberFormat="1" applyFont="1" applyFill="1" applyBorder="1"/>
    <x:xf numFmtId="202" fontId="5" fillId="5" borderId="3" xfId="0" applyNumberFormat="1" applyFont="1" applyFill="1" applyBorder="1"/>
    <x:xf numFmtId="202" fontId="5" fillId="5" borderId="1" xfId="0" applyNumberFormat="1" applyFont="1" applyFill="1" applyBorder="1" applyAlignment="1">
      <x:alignment horizontal="right"/>
    </x:xf>
    <x:xf numFmtId="202" fontId="5" fillId="5" borderId="2" xfId="0" applyNumberFormat="1" applyFont="1" applyFill="1" applyBorder="1" applyAlignment="1">
      <x:alignment horizontal="right"/>
    </x:xf>
    <x:xf numFmtId="202" fontId="5" fillId="5" borderId="3" xfId="0" applyNumberFormat="1" applyFont="1" applyFill="1" applyBorder="1" applyAlignment="1">
      <x:alignment horizontal="right"/>
    </x:xf>
    <x:xf numFmtId="0" fontId="0" fillId="6" borderId="0" xfId="0" applyNumberFormat="1" applyFont="1" applyFill="1" applyBorder="1"/>
    <x:xf numFmtId="0" fontId="3" fillId="6" borderId="0"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6" fillId="7" borderId="4" xfId="0" applyNumberFormat="1" applyFont="1" applyFill="1" applyBorder="1"/>
    <x:xf numFmtId="0" fontId="6" fillId="7" borderId="5" xfId="0" applyNumberFormat="1" applyFont="1" applyFill="1" applyBorder="1"/>
    <x:xf numFmtId="0" fontId="6" fillId="7" borderId="6" xfId="0" applyNumberFormat="1" applyFont="1" applyFill="1" applyBorder="1"/>
    <x:xf numFmtId="0" fontId="6" fillId="7" borderId="7" xfId="0" applyNumberFormat="1" applyFont="1" applyFill="1" applyBorder="1"/>
    <x:xf numFmtId="0" fontId="6" fillId="7" borderId="8" xfId="0" applyNumberFormat="1" applyFont="1" applyFill="1" applyBorder="1"/>
    <x:xf numFmtId="0" fontId="6" fillId="7" borderId="9" xfId="0" applyNumberFormat="1" applyFont="1" applyFill="1" applyBorder="1"/>
    <x:xf numFmtId="0" fontId="6" fillId="7" borderId="10" xfId="0" applyNumberFormat="1" applyFont="1" applyFill="1" applyBorder="1"/>
    <x:xf numFmtId="0" fontId="6" fillId="7" borderId="11" xfId="0" applyNumberFormat="1" applyFont="1" applyFill="1" applyBorder="1"/>
    <x:xf numFmtId="0" fontId="6" fillId="7" borderId="4" xfId="0" applyNumberFormat="1" applyFont="1" applyFill="1" applyBorder="1" applyAlignment="1">
      <x:alignment wrapText="1"/>
    </x:xf>
    <x:xf numFmtId="0" fontId="6" fillId="7" borderId="5" xfId="0" applyNumberFormat="1" applyFont="1" applyFill="1" applyBorder="1" applyAlignment="1">
      <x:alignment wrapText="1"/>
    </x:xf>
    <x:xf numFmtId="0" fontId="6" fillId="7" borderId="6" xfId="0" applyNumberFormat="1" applyFont="1" applyFill="1" applyBorder="1" applyAlignment="1">
      <x:alignment wrapText="1"/>
    </x:xf>
    <x:xf numFmtId="0" fontId="6" fillId="7" borderId="7"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8" xfId="0" applyNumberFormat="1" applyFont="1" applyFill="1" applyBorder="1" applyAlignment="1">
      <x:alignment wrapText="1"/>
    </x:xf>
    <x:xf numFmtId="0" fontId="6" fillId="7" borderId="9" xfId="0" applyNumberFormat="1" applyFont="1" applyFill="1" applyBorder="1" applyAlignment="1">
      <x:alignment wrapText="1"/>
    </x:xf>
    <x:xf numFmtId="0" fontId="6" fillId="7" borderId="10" xfId="0" applyNumberFormat="1" applyFont="1" applyFill="1" applyBorder="1" applyAlignment="1">
      <x:alignment wrapText="1"/>
    </x:xf>
    <x:xf numFmtId="0" fontId="6" fillId="7" borderId="11" xfId="0" applyNumberFormat="1" applyFont="1" applyFill="1" applyBorder="1" applyAlignment="1">
      <x:alignment wrapText="1"/>
    </x:xf>
    <x:xf numFmtId="0" fontId="6" fillId="7" borderId="4" xfId="0" applyNumberFormat="1" applyFont="1" applyFill="1" applyBorder="1" applyAlignment="1">
      <x:alignment vertical="top" wrapText="1"/>
    </x:xf>
    <x:xf numFmtId="0" fontId="6" fillId="7" borderId="5" xfId="0" applyNumberFormat="1" applyFont="1" applyFill="1" applyBorder="1" applyAlignment="1">
      <x:alignment vertical="top" wrapText="1"/>
    </x:xf>
    <x:xf numFmtId="0" fontId="6" fillId="7" borderId="6" xfId="0" applyNumberFormat="1" applyFont="1" applyFill="1" applyBorder="1" applyAlignment="1">
      <x:alignment vertical="top" wrapText="1"/>
    </x:xf>
    <x:xf numFmtId="0" fontId="6" fillId="7" borderId="7"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8" xfId="0" applyNumberFormat="1" applyFont="1" applyFill="1" applyBorder="1" applyAlignment="1">
      <x:alignment vertical="top" wrapText="1"/>
    </x:xf>
    <x:xf numFmtId="0" fontId="6" fillId="7" borderId="9" xfId="0" applyNumberFormat="1" applyFont="1" applyFill="1" applyBorder="1" applyAlignment="1">
      <x:alignment vertical="top" wrapText="1"/>
    </x:xf>
    <x:xf numFmtId="0" fontId="6" fillId="7" borderId="10" xfId="0" applyNumberFormat="1" applyFont="1" applyFill="1" applyBorder="1" applyAlignment="1">
      <x:alignment vertical="top" wrapText="1"/>
    </x:xf>
    <x:xf numFmtId="0" fontId="6" fillId="7" borderId="11" xfId="0" applyNumberFormat="1" applyFont="1" applyFill="1" applyBorder="1" applyAlignment="1">
      <x:alignment vertical="top" wrapText="1"/>
    </x:xf>
    <x:xf numFmtId="0" fontId="3" fillId="2" borderId="0" xfId="0" applyNumberFormat="1" applyFont="1" applyFill="1" applyBorder="1"/>
    <x:xf numFmtId="0" fontId="0" fillId="8" borderId="0" xfId="0" applyNumberFormat="1" applyFont="1" applyFill="1" applyBorder="1"/>
    <x:xf numFmtId="0" fontId="7" fillId="8" borderId="0" xfId="0" applyNumberFormat="1" applyFont="1" applyFill="1" applyBorder="1"/>
    <x:xf numFmtId="0" fontId="7" fillId="8" borderId="1" xfId="0" applyNumberFormat="1" applyFont="1" applyFill="1" applyBorder="1"/>
    <x:xf numFmtId="0" fontId="7" fillId="8" borderId="2" xfId="0" applyNumberFormat="1" applyFont="1" applyFill="1" applyBorder="1"/>
    <x:xf numFmtId="0" fontId="7" fillId="8" borderId="3"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cellXfs>
  <x:cellStyles count="1">
    <x:cellStyle name="Normal" xfId="0"/>
  </x:cellStyles>
  <x:dxfs count="2">
    <x:dxf>
      <x:font>
        <x:b/>
        <x:color rgb="FFB42318"/>
      </x:font>
      <x:fill>
        <x:patternFill patternType="solid">
          <x:bgColor rgb="FFFEE4E2"/>
        </x:patternFill>
      </x:fill>
    </x:dxf>
    <x:dxf>
      <x:font>
        <x:color rgb="FF2E7D5B"/>
      </x:font>
      <x:fill>
        <x:patternFill patternType="solid">
          <x:bgColor rgb="FFE7F3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d85b06906344484" /><Relationship Type="http://schemas.openxmlformats.org/officeDocument/2006/relationships/theme" Target="/xl/theme/theme1.xml" Id="R1a82e02dda6e49ee" /><Relationship Type="http://schemas.openxmlformats.org/officeDocument/2006/relationships/sharedStrings" Target="/xl/sharedStrings.xml" Id="R6c674a60e78645fe" /><Relationship Type="http://schemas.openxmlformats.org/officeDocument/2006/relationships/worksheet" Target="/xl/worksheets/sheet1.xml" Id="R0cbf807e7fb14e38" /><Relationship Type="http://schemas.openxmlformats.org/officeDocument/2006/relationships/worksheet" Target="/xl/worksheets/sheet2.xml" Id="R0c2a65be16ac4081" /><Relationship Type="http://schemas.openxmlformats.org/officeDocument/2006/relationships/worksheet" Target="/xl/worksheets/sheet3.xml" Id="Re3c1a93a86b74178" /><Relationship Type="http://schemas.openxmlformats.org/officeDocument/2006/relationships/worksheet" Target="/xl/worksheets/sheet4.xml" Id="R9e2a17643cc84205" /><Relationship Type="http://schemas.openxmlformats.org/officeDocument/2006/relationships/worksheet" Target="/xl/worksheets/sheet5.xml" Id="R07a5f0a256d24e00" /><Relationship Type="http://schemas.openxmlformats.org/officeDocument/2006/relationships/worksheet" Target="/xl/worksheets/sheet6.xml" Id="Rb0e6d3fcd0104be9" /><Relationship Type="http://schemas.openxmlformats.org/officeDocument/2006/relationships/worksheet" Target="/xl/worksheets/sheet7.xml" Id="Rd565aea442e74139" /><Relationship Type="http://schemas.openxmlformats.org/officeDocument/2006/relationships/worksheet" Target="/xl/worksheets/sheet8.xml" Id="Rc09f52ecd4814a46" /></Relationships>
</file>

<file path=xl/tables/table1.xml><?xml version="1.0" encoding="utf-8"?>
<x:table xmlns:x="http://schemas.openxmlformats.org/spreadsheetml/2006/main" id="1" name="EmployeesTable" displayName="EmployeesTable" ref="A4:K104" headerRowCount="1" totalsRowCount="0" totalsRowShown="0">
  <x:tableColumns count="11">
    <x:tableColumn id="1" name="employee_id"/>
    <x:tableColumn id="2" name="full_name"/>
    <x:tableColumn id="3" name="email"/>
    <x:tableColumn id="4" name="department"/>
    <x:tableColumn id="5" name="job_title"/>
    <x:tableColumn id="6" name="location"/>
    <x:tableColumn id="7" name="manager_employee_id"/>
    <x:tableColumn id="8" name="cost_centre"/>
    <x:tableColumn id="9" name="employment_status"/>
    <x:tableColumn id="10" name="hire_date"/>
    <x:tableColumn id="11" name="languages"/>
  </x:tableColumns>
  <x:tableStyleInfo name="TableStyleMedium4" showFirstColumn="0" showLastColumn="0" showRowStripes="1" showColumnStripes="0"/>
</x:table>
</file>

<file path=xl/tables/table2.xml><?xml version="1.0" encoding="utf-8"?>
<x:table xmlns:x="http://schemas.openxmlformats.org/spreadsheetml/2006/main" id="2" name="AssetsTable" displayName="AssetsTable" ref="A4:J84" headerRowCount="1" totalsRowCount="0" totalsRowShown="0">
  <x:tableColumns count="10">
    <x:tableColumn id="1" name="asset_id"/>
    <x:tableColumn id="2" name="asset_type"/>
    <x:tableColumn id="3" name="model"/>
    <x:tableColumn id="4" name="serial_number"/>
    <x:tableColumn id="5" name="assigned_employee_id"/>
    <x:tableColumn id="6" name="location"/>
    <x:tableColumn id="7" name="status"/>
    <x:tableColumn id="8" name="purchase_date"/>
    <x:tableColumn id="9" name="warranty_end"/>
    <x:tableColumn id="10" name="operating_system"/>
  </x:tableColumns>
  <x:tableStyleInfo name="TableStyleMedium4" showFirstColumn="0" showLastColumn="0" showRowStripes="1" showColumnStripes="0"/>
</x:table>
</file>

<file path=xl/tables/table3.xml><?xml version="1.0" encoding="utf-8"?>
<x:table xmlns:x="http://schemas.openxmlformats.org/spreadsheetml/2006/main" id="3" name="SystemsTable" displayName="SystemsTable" ref="A4:J24" headerRowCount="1" totalsRowCount="0" totalsRowShown="0">
  <x:tableColumns count="10">
    <x:tableColumn id="1" name="system_id"/>
    <x:tableColumn id="2" name="system_name"/>
    <x:tableColumn id="3" name="category"/>
    <x:tableColumn id="4" name="hosting_model"/>
    <x:tableColumn id="5" name="criticality"/>
    <x:tableColumn id="6" name="business_owner"/>
    <x:tableColumn id="7" name="vendor"/>
    <x:tableColumn id="8" name="authentication"/>
    <x:tableColumn id="9" name="availability_target"/>
    <x:tableColumn id="10" name="support_owner"/>
  </x:tableColumns>
  <x:tableStyleInfo name="TableStyleMedium4" showFirstColumn="0" showLastColumn="0" showRowStripes="1" showColumnStripes="0"/>
</x:table>
</file>

<file path=xl/tables/table4.xml><?xml version="1.0" encoding="utf-8"?>
<x:table xmlns:x="http://schemas.openxmlformats.org/spreadsheetml/2006/main" id="4" name="AgentsTable" displayName="AgentsTable" ref="A4:J9" headerRowCount="1" totalsRowCount="0" totalsRowShown="0">
  <x:tableColumns count="10">
    <x:tableColumn id="1" name="agent_id"/>
    <x:tableColumn id="2" name="full_name"/>
    <x:tableColumn id="3" name="role"/>
    <x:tableColumn id="4" name="specialty"/>
    <x:tableColumn id="5" name="support_tier"/>
    <x:tableColumn id="6" name="location"/>
    <x:tableColumn id="7" name="languages"/>
    <x:tableColumn id="8" name="working_hours"/>
    <x:tableColumn id="9" name="jira_profile_issue"/>
    <x:tableColumn id="10" name="status"/>
  </x:tableColumns>
  <x:tableStyleInfo name="TableStyleMedium4" showFirstColumn="0" showLastColumn="0" showRowStripes="1" showColumnStripes="0"/>
</x:table>
</file>

<file path=xl/tables/table5.xml><?xml version="1.0" encoding="utf-8"?>
<x:table xmlns:x="http://schemas.openxmlformats.org/spreadsheetml/2006/main" id="5" name="KnowledgeBaseTable" displayName="KnowledgeBaseTable" ref="A4:I29" headerRowCount="1" totalsRowCount="0" totalsRowShown="0">
  <x:tableColumns count="9">
    <x:tableColumn id="1" name="article_id"/>
    <x:tableColumn id="2" name="title"/>
    <x:tableColumn id="3" name="category"/>
    <x:tableColumn id="4" name="system_id"/>
    <x:tableColumn id="5" name="status"/>
    <x:tableColumn id="6" name="last_reviewed"/>
    <x:tableColumn id="7" name="owner"/>
    <x:tableColumn id="8" name="resolution_summary"/>
    <x:tableColumn id="9" name="tags"/>
  </x:tableColumns>
  <x:tableStyleInfo name="TableStyleMedium4" showFirstColumn="0" showLastColumn="0" showRowStripes="1" showColumnStripes="0"/>
</x:table>
</file>

<file path=xl/tables/table6.xml><?xml version="1.0" encoding="utf-8"?>
<x:table xmlns:x="http://schemas.openxmlformats.org/spreadsheetml/2006/main" id="6" name="HistoricalTicketsTable" displayName="HistoricalTicketsTable" ref="A4:W104" headerRowCount="1" totalsRowCount="0" totalsRowShown="0">
  <x:tableColumns count="23">
    <x:tableColumn id="1" name="ticket_id"/>
    <x:tableColumn id="2" name="summary"/>
    <x:tableColumn id="3" name="category"/>
    <x:tableColumn id="4" name="system_id"/>
    <x:tableColumn id="5" name="priority"/>
    <x:tableColumn id="6" name="status"/>
    <x:tableColumn id="7" name="created_date"/>
    <x:tableColumn id="8" name="resolved_date"/>
    <x:tableColumn id="9" name="requester_employee_id"/>
    <x:tableColumn id="10" name="requester_name"/>
    <x:tableColumn id="11" name="requester_department"/>
    <x:tableColumn id="12" name="asset_id"/>
    <x:tableColumn id="13" name="assigned_agent_id"/>
    <x:tableColumn id="14" name="assigned_agent_name"/>
    <x:tableColumn id="15" name="knowledge_article_id"/>
    <x:tableColumn id="16" name="business_impact"/>
    <x:tableColumn id="17" name="resolution"/>
    <x:tableColumn id="18" name="ai_confidence"/>
    <x:tableColumn id="19" name="auto_resolution_eligible"/>
    <x:tableColumn id="20" name="escalation_reason"/>
    <x:tableColumn id="21" name="resolution_source"/>
    <x:tableColumn id="22" name="human_feedback"/>
    <x:tableColumn id="23" name="data_classification_note"/>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70e238dc6164ceb" /></Relationships>
</file>

<file path=xl/worksheets/_rels/sheet3.xml.rels>&#65279;<?xml version="1.0" encoding="utf-8"?><Relationships xmlns="http://schemas.openxmlformats.org/package/2006/relationships"><Relationship Type="http://schemas.openxmlformats.org/officeDocument/2006/relationships/table" Target="/xl/tables/table2.xml" Id="R2d97766367264095" /></Relationships>
</file>

<file path=xl/worksheets/_rels/sheet4.xml.rels>&#65279;<?xml version="1.0" encoding="utf-8"?><Relationships xmlns="http://schemas.openxmlformats.org/package/2006/relationships"><Relationship Type="http://schemas.openxmlformats.org/officeDocument/2006/relationships/table" Target="/xl/tables/table3.xml" Id="R287a06d10af940dc" /></Relationships>
</file>

<file path=xl/worksheets/_rels/sheet5.xml.rels>&#65279;<?xml version="1.0" encoding="utf-8"?><Relationships xmlns="http://schemas.openxmlformats.org/package/2006/relationships"><Relationship Type="http://schemas.openxmlformats.org/officeDocument/2006/relationships/table" Target="/xl/tables/table4.xml" Id="Rb73103c85cc84a9f" /></Relationships>
</file>

<file path=xl/worksheets/_rels/sheet6.xml.rels>&#65279;<?xml version="1.0" encoding="utf-8"?><Relationships xmlns="http://schemas.openxmlformats.org/package/2006/relationships"><Relationship Type="http://schemas.openxmlformats.org/officeDocument/2006/relationships/table" Target="/xl/tables/table5.xml" Id="Re3abae9a1bdd4a5e" /></Relationships>
</file>

<file path=xl/worksheets/_rels/sheet7.xml.rels>&#65279;<?xml version="1.0" encoding="utf-8"?><Relationships xmlns="http://schemas.openxmlformats.org/package/2006/relationships"><Relationship Type="http://schemas.openxmlformats.org/officeDocument/2006/relationships/table" Target="/xl/tables/table6.xml" Id="R3d22ae348d9347d3"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5" hidden="0" customWidth="1"/>
    <x:col min="3" max="3" width="2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s>
  <x:sheetData>
    <x:row r="1" ht="30" customHeight="1">
      <x:c r="A1" s="3" t="str">
        <x:v>KRkRice IT Service Dataset</x:v>
      </x:c>
      <x:c r="B1" s="3"/>
      <x:c r="C1" s="3"/>
      <x:c r="D1" s="3"/>
      <x:c r="E1" s="3"/>
      <x:c r="F1" s="3"/>
      <x:c r="G1" s="3"/>
      <x:c r="H1" s="3"/>
      <x:c r="I1" s="3"/>
      <x:c r="J1" s="3"/>
    </x:row>
    <x:row r="2" ht="24" customHeight="1">
      <x:c r="A2" s="6" t="str">
        <x:v>Synthetic showcase dataset — fictional company, people, devices, systems, tickets, and operational records.</x:v>
      </x:c>
      <x:c r="B2" s="6"/>
      <x:c r="C2" s="6"/>
      <x:c r="D2" s="6"/>
      <x:c r="E2" s="6"/>
      <x:c r="F2" s="6"/>
      <x:c r="G2" s="6"/>
      <x:c r="H2" s="6"/>
      <x:c r="I2" s="6"/>
      <x:c r="J2" s="6"/>
    </x:row>
    <x:row r="4" ht="24" customHeight="1">
      <x:c r="A4" s="8" t="str">
        <x:v>Dataset</x:v>
      </x:c>
      <x:c r="B4" s="8" t="str">
        <x:v>Record count</x:v>
      </x:c>
      <x:c r="D4" s="38" t="str">
        <x:v>Purpose and safe-use notes</x:v>
      </x:c>
      <x:c r="E4" s="38"/>
      <x:c r="F4" s="38"/>
      <x:c r="G4" s="38"/>
      <x:c r="H4" s="38"/>
      <x:c r="I4" s="38"/>
      <x:c r="J4" s="38"/>
    </x:row>
    <x:row r="5">
      <x:c r="A5" s="25" t="str">
        <x:v>Employees</x:v>
      </x:c>
      <x:c r="B5" s="34" t="n">
        <x:f>COUNTA('Employees'!$A$5:$A$104)</x:f>
        <x:v>100</x:v>
      </x:c>
      <x:c r="D5" s="58" t="str">
        <x:v>This dataset is designed for an AI helpdesk showcase: triage, retrieval, response drafting, routing, escalation, evaluation, and feedback learning. Every person, email, ticket, device, and business record is invented. Do not treat mock agent profiles as real Jira accounts. Security tickets are deliberately excluded from automatic resolution.</x:v>
      </x:c>
      <x:c r="E5" s="59"/>
      <x:c r="F5" s="59"/>
      <x:c r="G5" s="59"/>
      <x:c r="H5" s="59"/>
      <x:c r="I5" s="59"/>
      <x:c r="J5" s="60"/>
    </x:row>
    <x:row r="6">
      <x:c r="A6" s="26" t="str">
        <x:v>Assets</x:v>
      </x:c>
      <x:c r="B6" s="35" t="n">
        <x:f>COUNTA('Assets'!$A$5:$A$84)</x:f>
        <x:v>80</x:v>
      </x:c>
      <x:c r="D6" s="61"/>
      <x:c r="E6" s="62"/>
      <x:c r="F6" s="62"/>
      <x:c r="G6" s="62"/>
      <x:c r="H6" s="62"/>
      <x:c r="I6" s="62"/>
      <x:c r="J6" s="63"/>
    </x:row>
    <x:row r="7">
      <x:c r="A7" s="26" t="str">
        <x:v>Systems</x:v>
      </x:c>
      <x:c r="B7" s="35" t="n">
        <x:f>COUNTA('Systems'!$A$5:$A$24)</x:f>
        <x:v>20</x:v>
      </x:c>
      <x:c r="D7" s="61"/>
      <x:c r="E7" s="62"/>
      <x:c r="F7" s="62"/>
      <x:c r="G7" s="62"/>
      <x:c r="H7" s="62"/>
      <x:c r="I7" s="62"/>
      <x:c r="J7" s="63"/>
    </x:row>
    <x:row r="8">
      <x:c r="A8" s="26" t="str">
        <x:v>Helpdesk agents</x:v>
      </x:c>
      <x:c r="B8" s="35" t="n">
        <x:f>COUNTA('Agents'!$A$5:$A$9)</x:f>
        <x:v>5</x:v>
      </x:c>
      <x:c r="D8" s="61"/>
      <x:c r="E8" s="62"/>
      <x:c r="F8" s="62"/>
      <x:c r="G8" s="62"/>
      <x:c r="H8" s="62"/>
      <x:c r="I8" s="62"/>
      <x:c r="J8" s="63"/>
    </x:row>
    <x:row r="9">
      <x:c r="A9" s="26" t="str">
        <x:v>Knowledge articles</x:v>
      </x:c>
      <x:c r="B9" s="35" t="n">
        <x:f>COUNTA('Knowledge Base'!$A$5:$A$29)</x:f>
        <x:v>25</x:v>
      </x:c>
      <x:c r="D9" s="61"/>
      <x:c r="E9" s="62"/>
      <x:c r="F9" s="62"/>
      <x:c r="G9" s="62"/>
      <x:c r="H9" s="62"/>
      <x:c r="I9" s="62"/>
      <x:c r="J9" s="63"/>
    </x:row>
    <x:row r="10">
      <x:c r="A10" s="26" t="str">
        <x:v>Historical tickets</x:v>
      </x:c>
      <x:c r="B10" s="35" t="n">
        <x:f>COUNTA('Historical Tickets'!$A$5:$A$104)</x:f>
        <x:v>100</x:v>
      </x:c>
      <x:c r="D10" s="61"/>
      <x:c r="E10" s="62"/>
      <x:c r="F10" s="62"/>
      <x:c r="G10" s="62"/>
      <x:c r="H10" s="62"/>
      <x:c r="I10" s="62"/>
      <x:c r="J10" s="63"/>
    </x:row>
    <x:row r="11">
      <x:c r="A11" s="27" t="str">
        <x:v>Resolved / closed tickets</x:v>
      </x:c>
      <x:c r="B11" s="36" t="n">
        <x:f>COUNTIF('Historical Tickets'!$F$5:$F$104,"Resolved")+COUNTIF('Historical Tickets'!$F$5:$F$104,"Closed")</x:f>
        <x:v>70</x:v>
      </x:c>
      <x:c r="D11" s="64"/>
      <x:c r="E11" s="65"/>
      <x:c r="F11" s="65"/>
      <x:c r="G11" s="65"/>
      <x:c r="H11" s="65"/>
      <x:c r="I11" s="65"/>
      <x:c r="J11" s="66"/>
    </x:row>
    <x:row r="14">
      <x:c r="A14" s="67" t="str">
        <x:v>Relational keys</x:v>
      </x:c>
    </x:row>
    <x:row r="15">
      <x:c r="A15" s="70" t="str">
        <x:v>Tickets.requester_employee_id</x:v>
      </x:c>
      <x:c r="B15" s="70" t="str">
        <x:v>→</x:v>
      </x:c>
      <x:c r="C15" s="70" t="str">
        <x:v>Employees.employee_id</x:v>
      </x:c>
      <x:c r="D15" s="70" t="str">
        <x:v>Tickets.asset_id</x:v>
      </x:c>
      <x:c r="E15" s="70" t="str">
        <x:v>→</x:v>
      </x:c>
      <x:c r="F15" s="70" t="str">
        <x:v>Assets.asset_id</x:v>
      </x:c>
      <x:c r="G15" s="70" t="str">
        <x:v>Tickets.system_id</x:v>
      </x:c>
      <x:c r="H15" s="70" t="str">
        <x:v>→</x:v>
      </x:c>
      <x:c r="I15" s="70" t="str">
        <x:v>Systems.system_id</x:v>
      </x:c>
      <x:c r="J15" s="70" t="str"/>
    </x:row>
    <x:row r="16">
      <x:c r="A16" s="71" t="str">
        <x:v>Tickets.assigned_agent_id</x:v>
      </x:c>
      <x:c r="B16" s="71" t="str">
        <x:v>→</x:v>
      </x:c>
      <x:c r="C16" s="71" t="str">
        <x:v>Agents.agent_id</x:v>
      </x:c>
      <x:c r="D16" s="71" t="str">
        <x:v>Tickets.knowledge_article_id</x:v>
      </x:c>
      <x:c r="E16" s="71" t="str">
        <x:v>→</x:v>
      </x:c>
      <x:c r="F16" s="71" t="str">
        <x:v>Knowledge Base.article_id</x:v>
      </x:c>
      <x:c r="G16" s="71" t="str">
        <x:v>Assets.assigned_employee_id</x:v>
      </x:c>
      <x:c r="H16" s="71" t="str">
        <x:v>→</x:v>
      </x:c>
      <x:c r="I16" s="71" t="str">
        <x:v>Employees.employee_id</x:v>
      </x:c>
      <x:c r="J16" s="71" t="str"/>
    </x:row>
    <x:row r="17">
      <x:c r="A17" s="71" t="str">
        <x:v>Knowledge Base.system_id</x:v>
      </x:c>
      <x:c r="B17" s="71" t="str">
        <x:v>→</x:v>
      </x:c>
      <x:c r="C17" s="71" t="str">
        <x:v>Systems.system_id</x:v>
      </x:c>
      <x:c r="D17" s="71" t="str">
        <x:v>Employees.manager_employee_id</x:v>
      </x:c>
      <x:c r="E17" s="71" t="str">
        <x:v>→</x:v>
      </x:c>
      <x:c r="F17" s="71" t="str">
        <x:v>Employees.employee_id</x:v>
      </x:c>
      <x:c r="G17" s="71" t="str">
        <x:v>Agents.jira_profile_issue</x:v>
      </x:c>
      <x:c r="H17" s="71" t="str">
        <x:v>→</x:v>
      </x:c>
      <x:c r="I17" s="71" t="str">
        <x:v>Jira SUP issues</x:v>
      </x:c>
      <x:c r="J17" s="71" t="str"/>
    </x:row>
    <x:row r="18">
      <x:c r="A18" s="71" t="str">
        <x:v>Reserved email domain</x:v>
      </x:c>
      <x:c r="B18" s="71" t="str"/>
      <x:c r="C18" s="71" t="str">
        <x:v>krkrice.example</x:v>
      </x:c>
      <x:c r="D18" s="71" t="str">
        <x:v>Generation seed</x:v>
      </x:c>
      <x:c r="E18" s="71" t="str"/>
      <x:c r="F18" s="71" t="str">
        <x:v>20260710</x:v>
      </x:c>
      <x:c r="G18" s="71" t="str">
        <x:v>Snapshot date</x:v>
      </x:c>
      <x:c r="H18" s="71" t="str"/>
      <x:c r="I18" s="71" t="str">
        <x:v>2026-07-10</x:v>
      </x:c>
      <x:c r="J18" s="71" t="str"/>
    </x:row>
    <x:row r="19">
      <x:c r="A19" s="72" t="str">
        <x:v>CSV exports</x:v>
      </x:c>
      <x:c r="B19" s="72" t="str"/>
      <x:c r="C19" s="72" t="str">
        <x:v>outputs/krkrice_it_dataset/csv</x:v>
      </x:c>
      <x:c r="D19" s="72" t="str">
        <x:v>Workbook</x:v>
      </x:c>
      <x:c r="E19" s="72" t="str"/>
      <x:c r="F19" s="72" t="str">
        <x:v>krkrice_it_service_dataset.xlsx</x:v>
      </x:c>
      <x:c r="G19" s="72" t="str">
        <x:v>Classification</x:v>
      </x:c>
      <x:c r="H19" s="72" t="str"/>
      <x:c r="I19" s="72" t="str">
        <x:v>Synthetic</x:v>
      </x:c>
      <x:c r="J19" s="72" t="str"/>
    </x:row>
  </x:sheetData>
  <x:mergeCells>
    <x:mergeCell ref="A1:J1"/>
    <x:mergeCell ref="A2:J2"/>
    <x:mergeCell ref="D4:J4"/>
    <x:mergeCell ref="D5:J11"/>
    <x:mergeCell ref="A14:J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14.220000267028809" hidden="0" customWidth="1"/>
    <x:col min="3" max="3" width="22" hidden="0" customWidth="1"/>
    <x:col min="4" max="4" width="13.890000343322754" hidden="0" customWidth="1"/>
    <x:col min="5" max="5" width="22" hidden="0" customWidth="1"/>
    <x:col min="6" max="6" width="18.110000610351562" hidden="0" customWidth="1"/>
    <x:col min="7" max="7" width="11" hidden="0" customWidth="1"/>
    <x:col min="8" max="8" width="11" hidden="0" customWidth="1"/>
    <x:col min="9" max="9" width="11" hidden="0" customWidth="1"/>
    <x:col min="10" max="10" width="11" hidden="0" customWidth="1"/>
    <x:col min="11" max="11" width="11" hidden="0" customWidth="1"/>
  </x:cols>
  <x:sheetData>
    <x:row r="1" ht="30" customHeight="1">
      <x:c r="A1" s="3" t="str">
        <x:v>KRkRice Synthetic Employees</x:v>
      </x:c>
      <x:c r="B1" s="3"/>
      <x:c r="C1" s="3"/>
      <x:c r="D1" s="3"/>
      <x:c r="E1" s="3"/>
      <x:c r="F1" s="3"/>
      <x:c r="G1" s="3"/>
      <x:c r="H1" s="3"/>
      <x:c r="I1" s="3"/>
      <x:c r="J1" s="3"/>
      <x:c r="K1" s="3"/>
    </x:row>
    <x:row r="2" ht="24" customHeight="1">
      <x:c r="A2" s="6" t="str">
        <x:v>100 invented employees for IT service-management testing. All addresses use the reserved .example domain.</x:v>
      </x:c>
      <x:c r="B2" s="6"/>
      <x:c r="C2" s="6"/>
      <x:c r="D2" s="6"/>
      <x:c r="E2" s="6"/>
      <x:c r="F2" s="6"/>
      <x:c r="G2" s="6"/>
      <x:c r="H2" s="6"/>
      <x:c r="I2" s="6"/>
      <x:c r="J2" s="6"/>
      <x:c r="K2" s="6"/>
    </x:row>
    <x:row r="4" ht="24" customHeight="1">
      <x:c r="A4" s="10" t="str">
        <x:v>employee_id</x:v>
      </x:c>
      <x:c r="B4" s="10" t="str">
        <x:v>full_name</x:v>
      </x:c>
      <x:c r="C4" s="10" t="str">
        <x:v>email</x:v>
      </x:c>
      <x:c r="D4" s="10" t="str">
        <x:v>department</x:v>
      </x:c>
      <x:c r="E4" s="10" t="str">
        <x:v>job_title</x:v>
      </x:c>
      <x:c r="F4" s="10" t="str">
        <x:v>location</x:v>
      </x:c>
      <x:c r="G4" s="10" t="str">
        <x:v>manager_employee_id</x:v>
      </x:c>
      <x:c r="H4" s="10" t="str">
        <x:v>cost_centre</x:v>
      </x:c>
      <x:c r="I4" s="10" t="str">
        <x:v>employment_status</x:v>
      </x:c>
      <x:c r="J4" s="10" t="str">
        <x:v>hire_date</x:v>
      </x:c>
      <x:c r="K4" s="10" t="str">
        <x:v>languages</x:v>
      </x:c>
    </x:row>
    <x:row r="5">
      <x:c r="A5" s="15" t="str">
        <x:v>EMP-001</x:v>
      </x:c>
      <x:c r="B5" s="15" t="str">
        <x:v>Hanna Mazur</x:v>
      </x:c>
      <x:c r="C5" s="15" t="str">
        <x:v>hanna.mazur@krkrice.example</x:v>
      </x:c>
      <x:c r="D5" s="15" t="str">
        <x:v>Export Sales</x:v>
      </x:c>
      <x:c r="E5" s="15" t="str">
        <x:v>Head of Export Sales</x:v>
      </x:c>
      <x:c r="F5" s="15" t="str">
        <x:v>Kraków Headquarters</x:v>
      </x:c>
      <x:c r="G5" s="15" t="str"/>
      <x:c r="H5" s="15" t="str">
        <x:v>2021</x:v>
      </x:c>
      <x:c r="I5" s="15" t="str">
        <x:v>Active</x:v>
      </x:c>
      <x:c r="J5" s="18" t="n">
        <x:v>43133.5</x:v>
      </x:c>
      <x:c r="K5" s="15" t="str">
        <x:v>English</x:v>
      </x:c>
    </x:row>
    <x:row r="6">
      <x:c r="A6" s="16" t="str">
        <x:v>EMP-002</x:v>
      </x:c>
      <x:c r="B6" s="16" t="str">
        <x:v>Marta Dąbrowski</x:v>
      </x:c>
      <x:c r="C6" s="16" t="str">
        <x:v>marta.dabrowski@krkrice.example</x:v>
      </x:c>
      <x:c r="D6" s="16" t="str">
        <x:v>Export Sales</x:v>
      </x:c>
      <x:c r="E6" s="16" t="str">
        <x:v>Export Sales Executive</x:v>
      </x:c>
      <x:c r="F6" s="16" t="str">
        <x:v>Kraków Headquarters</x:v>
      </x:c>
      <x:c r="G6" s="16" t="str">
        <x:v>EMP-001</x:v>
      </x:c>
      <x:c r="H6" s="16" t="str">
        <x:v>2022</x:v>
      </x:c>
      <x:c r="I6" s="16" t="str">
        <x:v>Active</x:v>
      </x:c>
      <x:c r="J6" s="19" t="n">
        <x:v>43527.5</x:v>
      </x:c>
      <x:c r="K6" s="16" t="str">
        <x:v>English</x:v>
      </x:c>
    </x:row>
    <x:row r="7">
      <x:c r="A7" s="16" t="str">
        <x:v>EMP-003</x:v>
      </x:c>
      <x:c r="B7" s="16" t="str">
        <x:v>Sara Szymański</x:v>
      </x:c>
      <x:c r="C7" s="16" t="str">
        <x:v>sara.szymanski@krkrice.example</x:v>
      </x:c>
      <x:c r="D7" s="16" t="str">
        <x:v>Export Sales</x:v>
      </x:c>
      <x:c r="E7" s="16" t="str">
        <x:v>Sales Operations Coordinator</x:v>
      </x:c>
      <x:c r="F7" s="16" t="str">
        <x:v>Kraków Headquarters</x:v>
      </x:c>
      <x:c r="G7" s="16" t="str">
        <x:v>EMP-001</x:v>
      </x:c>
      <x:c r="H7" s="16" t="str">
        <x:v>2023</x:v>
      </x:c>
      <x:c r="I7" s="16" t="str">
        <x:v>Active</x:v>
      </x:c>
      <x:c r="J7" s="19" t="n">
        <x:v>43925.5</x:v>
      </x:c>
      <x:c r="K7" s="16" t="str">
        <x:v>English</x:v>
      </x:c>
    </x:row>
    <x:row r="8">
      <x:c r="A8" s="16" t="str">
        <x:v>EMP-004</x:v>
      </x:c>
      <x:c r="B8" s="16" t="str">
        <x:v>Carlos Lewandowski</x:v>
      </x:c>
      <x:c r="C8" s="16" t="str">
        <x:v>carlos.lewandowski@krkrice.example</x:v>
      </x:c>
      <x:c r="D8" s="16" t="str">
        <x:v>Export Sales</x:v>
      </x:c>
      <x:c r="E8" s="16" t="str">
        <x:v>Account Manager</x:v>
      </x:c>
      <x:c r="F8" s="16" t="str">
        <x:v>Kraków Headquarters</x:v>
      </x:c>
      <x:c r="G8" s="16" t="str">
        <x:v>EMP-001</x:v>
      </x:c>
      <x:c r="H8" s="16" t="str">
        <x:v>2024</x:v>
      </x:c>
      <x:c r="I8" s="16" t="str">
        <x:v>Active</x:v>
      </x:c>
      <x:c r="J8" s="19" t="n">
        <x:v>44321.5</x:v>
      </x:c>
      <x:c r="K8" s="16" t="str">
        <x:v>English</x:v>
      </x:c>
    </x:row>
    <x:row r="9">
      <x:c r="A9" s="16" t="str">
        <x:v>EMP-005</x:v>
      </x:c>
      <x:c r="B9" s="16" t="str">
        <x:v>Katarzyna Bąk</x:v>
      </x:c>
      <x:c r="C9" s="16" t="str">
        <x:v>katarzyna.bak@krkrice.example</x:v>
      </x:c>
      <x:c r="D9" s="16" t="str">
        <x:v>Export Sales</x:v>
      </x:c>
      <x:c r="E9" s="16" t="str">
        <x:v>Account Manager</x:v>
      </x:c>
      <x:c r="F9" s="16" t="str">
        <x:v>Kraków Headquarters</x:v>
      </x:c>
      <x:c r="G9" s="16" t="str">
        <x:v>EMP-001</x:v>
      </x:c>
      <x:c r="H9" s="16" t="str">
        <x:v>2025</x:v>
      </x:c>
      <x:c r="I9" s="16" t="str">
        <x:v>Active</x:v>
      </x:c>
      <x:c r="J9" s="19" t="n">
        <x:v>44718.5</x:v>
      </x:c>
      <x:c r="K9" s="16" t="str">
        <x:v>English</x:v>
      </x:c>
    </x:row>
    <x:row r="10">
      <x:c r="A10" s="16" t="str">
        <x:v>EMP-006</x:v>
      </x:c>
      <x:c r="B10" s="16" t="str">
        <x:v>Nadia Rahman</x:v>
      </x:c>
      <x:c r="C10" s="16" t="str">
        <x:v>nadia.rahman@krkrice.example</x:v>
      </x:c>
      <x:c r="D10" s="16" t="str">
        <x:v>Export Sales</x:v>
      </x:c>
      <x:c r="E10" s="16" t="str">
        <x:v>Sales Operations Coordinator</x:v>
      </x:c>
      <x:c r="F10" s="16" t="str">
        <x:v>Kraków Headquarters</x:v>
      </x:c>
      <x:c r="G10" s="16" t="str">
        <x:v>EMP-001</x:v>
      </x:c>
      <x:c r="H10" s="16" t="str">
        <x:v>2026</x:v>
      </x:c>
      <x:c r="I10" s="16" t="str">
        <x:v>Active</x:v>
      </x:c>
      <x:c r="J10" s="19" t="n">
        <x:v>45114.5</x:v>
      </x:c>
      <x:c r="K10" s="16" t="str">
        <x:v>English</x:v>
      </x:c>
    </x:row>
    <x:row r="11">
      <x:c r="A11" s="16" t="str">
        <x:v>EMP-007</x:v>
      </x:c>
      <x:c r="B11" s="16" t="str">
        <x:v>Zofia Kowalski</x:v>
      </x:c>
      <x:c r="C11" s="16" t="str">
        <x:v>zofia.kowalski@krkrice.example</x:v>
      </x:c>
      <x:c r="D11" s="16" t="str">
        <x:v>Export Sales</x:v>
      </x:c>
      <x:c r="E11" s="16" t="str">
        <x:v>Account Manager</x:v>
      </x:c>
      <x:c r="F11" s="16" t="str">
        <x:v>Kraków Headquarters</x:v>
      </x:c>
      <x:c r="G11" s="16" t="str">
        <x:v>EMP-001</x:v>
      </x:c>
      <x:c r="H11" s="16" t="str">
        <x:v>2027</x:v>
      </x:c>
      <x:c r="I11" s="16" t="str">
        <x:v>Active</x:v>
      </x:c>
      <x:c r="J11" s="19" t="n">
        <x:v>45512.5</x:v>
      </x:c>
      <x:c r="K11" s="16" t="str">
        <x:v>English</x:v>
      </x:c>
    </x:row>
    <x:row r="12">
      <x:c r="A12" s="16" t="str">
        <x:v>EMP-008</x:v>
      </x:c>
      <x:c r="B12" s="16" t="str">
        <x:v>Hanna Zieliński</x:v>
      </x:c>
      <x:c r="C12" s="16" t="str">
        <x:v>hanna.zielinski@krkrice.example</x:v>
      </x:c>
      <x:c r="D12" s="16" t="str">
        <x:v>Export Sales</x:v>
      </x:c>
      <x:c r="E12" s="16" t="str">
        <x:v>Account Manager</x:v>
      </x:c>
      <x:c r="F12" s="16" t="str">
        <x:v>Remote - Poland</x:v>
      </x:c>
      <x:c r="G12" s="16" t="str">
        <x:v>EMP-001</x:v>
      </x:c>
      <x:c r="H12" s="16" t="str">
        <x:v>2028</x:v>
      </x:c>
      <x:c r="I12" s="16" t="str">
        <x:v>Active</x:v>
      </x:c>
      <x:c r="J12" s="19" t="n">
        <x:v>45909.5</x:v>
      </x:c>
      <x:c r="K12" s="16" t="str">
        <x:v>English</x:v>
      </x:c>
    </x:row>
    <x:row r="13">
      <x:c r="A13" s="16" t="str">
        <x:v>EMP-009</x:v>
      </x:c>
      <x:c r="B13" s="16" t="str">
        <x:v>Marta O'Connor</x:v>
      </x:c>
      <x:c r="C13" s="16" t="str">
        <x:v>marta.oconnor@krkrice.example</x:v>
      </x:c>
      <x:c r="D13" s="16" t="str">
        <x:v>Export Sales</x:v>
      </x:c>
      <x:c r="E13" s="16" t="str">
        <x:v>Export Sales Executive</x:v>
      </x:c>
      <x:c r="F13" s="16" t="str">
        <x:v>Kraków Headquarters</x:v>
      </x:c>
      <x:c r="G13" s="16" t="str">
        <x:v>EMP-001</x:v>
      </x:c>
      <x:c r="H13" s="16" t="str">
        <x:v>2029</x:v>
      </x:c>
      <x:c r="I13" s="16" t="str">
        <x:v>Active</x:v>
      </x:c>
      <x:c r="J13" s="19" t="n">
        <x:v>43018.5</x:v>
      </x:c>
      <x:c r="K13" s="16" t="str">
        <x:v>Polish, English</x:v>
      </x:c>
    </x:row>
    <x:row r="14">
      <x:c r="A14" s="16" t="str">
        <x:v>EMP-010</x:v>
      </x:c>
      <x:c r="B14" s="16" t="str">
        <x:v>Sara Jankowski</x:v>
      </x:c>
      <x:c r="C14" s="16" t="str">
        <x:v>sara.jankowski@krkrice.example</x:v>
      </x:c>
      <x:c r="D14" s="16" t="str">
        <x:v>Export Sales</x:v>
      </x:c>
      <x:c r="E14" s="16" t="str">
        <x:v>Export Sales Executive</x:v>
      </x:c>
      <x:c r="F14" s="16" t="str">
        <x:v>Kraków Headquarters</x:v>
      </x:c>
      <x:c r="G14" s="16" t="str">
        <x:v>EMP-001</x:v>
      </x:c>
      <x:c r="H14" s="16" t="str">
        <x:v>2020</x:v>
      </x:c>
      <x:c r="I14" s="16" t="str">
        <x:v>Active</x:v>
      </x:c>
      <x:c r="J14" s="19" t="n">
        <x:v>43415.5</x:v>
      </x:c>
      <x:c r="K14" s="16" t="str">
        <x:v>English</x:v>
      </x:c>
    </x:row>
    <x:row r="15">
      <x:c r="A15" s="16" t="str">
        <x:v>EMP-011</x:v>
      </x:c>
      <x:c r="B15" s="16" t="str">
        <x:v>Carlos Wójcik</x:v>
      </x:c>
      <x:c r="C15" s="16" t="str">
        <x:v>carlos.wojcik@krkrice.example</x:v>
      </x:c>
      <x:c r="D15" s="16" t="str">
        <x:v>Export Sales</x:v>
      </x:c>
      <x:c r="E15" s="16" t="str">
        <x:v>Sales Operations Coordinator</x:v>
      </x:c>
      <x:c r="F15" s="16" t="str">
        <x:v>Kraków Headquarters</x:v>
      </x:c>
      <x:c r="G15" s="16" t="str">
        <x:v>EMP-001</x:v>
      </x:c>
      <x:c r="H15" s="16" t="str">
        <x:v>2021</x:v>
      </x:c>
      <x:c r="I15" s="16" t="str">
        <x:v>Active</x:v>
      </x:c>
      <x:c r="J15" s="19" t="n">
        <x:v>43811.5</x:v>
      </x:c>
      <x:c r="K15" s="16" t="str">
        <x:v>English</x:v>
      </x:c>
    </x:row>
    <x:row r="16">
      <x:c r="A16" s="16" t="str">
        <x:v>EMP-012</x:v>
      </x:c>
      <x:c r="B16" s="16" t="str">
        <x:v>Katarzyna Mazur</x:v>
      </x:c>
      <x:c r="C16" s="16" t="str">
        <x:v>katarzyna.mazur@krkrice.example</x:v>
      </x:c>
      <x:c r="D16" s="16" t="str">
        <x:v>Export Sales</x:v>
      </x:c>
      <x:c r="E16" s="16" t="str">
        <x:v>Account Manager</x:v>
      </x:c>
      <x:c r="F16" s="16" t="str">
        <x:v>Kraków Headquarters</x:v>
      </x:c>
      <x:c r="G16" s="16" t="str">
        <x:v>EMP-001</x:v>
      </x:c>
      <x:c r="H16" s="16" t="str">
        <x:v>2022</x:v>
      </x:c>
      <x:c r="I16" s="16" t="str">
        <x:v>Active</x:v>
      </x:c>
      <x:c r="J16" s="19" t="n">
        <x:v>43843.5</x:v>
      </x:c>
      <x:c r="K16" s="16" t="str">
        <x:v>English</x:v>
      </x:c>
    </x:row>
    <x:row r="17">
      <x:c r="A17" s="16" t="str">
        <x:v>EMP-013</x:v>
      </x:c>
      <x:c r="B17" s="16" t="str">
        <x:v>Nadia Dąbrowski</x:v>
      </x:c>
      <x:c r="C17" s="16" t="str">
        <x:v>nadia.dabrowski@krkrice.example</x:v>
      </x:c>
      <x:c r="D17" s="16" t="str">
        <x:v>Export Sales</x:v>
      </x:c>
      <x:c r="E17" s="16" t="str">
        <x:v>Account Manager</x:v>
      </x:c>
      <x:c r="F17" s="16" t="str">
        <x:v>Kraków Headquarters</x:v>
      </x:c>
      <x:c r="G17" s="16" t="str">
        <x:v>EMP-001</x:v>
      </x:c>
      <x:c r="H17" s="16" t="str">
        <x:v>2023</x:v>
      </x:c>
      <x:c r="I17" s="16" t="str">
        <x:v>Active</x:v>
      </x:c>
      <x:c r="J17" s="19" t="n">
        <x:v>44241.5</x:v>
      </x:c>
      <x:c r="K17" s="16" t="str">
        <x:v>English</x:v>
      </x:c>
    </x:row>
    <x:row r="18">
      <x:c r="A18" s="16" t="str">
        <x:v>EMP-014</x:v>
      </x:c>
      <x:c r="B18" s="16" t="str">
        <x:v>Zofia Szymański</x:v>
      </x:c>
      <x:c r="C18" s="16" t="str">
        <x:v>zofia.szymanski@krkrice.example</x:v>
      </x:c>
      <x:c r="D18" s="16" t="str">
        <x:v>Export Sales</x:v>
      </x:c>
      <x:c r="E18" s="16" t="str">
        <x:v>Sales Operations Coordinator</x:v>
      </x:c>
      <x:c r="F18" s="16" t="str">
        <x:v>Kraków Headquarters</x:v>
      </x:c>
      <x:c r="G18" s="16" t="str">
        <x:v>EMP-001</x:v>
      </x:c>
      <x:c r="H18" s="16" t="str">
        <x:v>2024</x:v>
      </x:c>
      <x:c r="I18" s="16" t="str">
        <x:v>Active</x:v>
      </x:c>
      <x:c r="J18" s="19" t="n">
        <x:v>44635.5</x:v>
      </x:c>
      <x:c r="K18" s="16" t="str">
        <x:v>English</x:v>
      </x:c>
    </x:row>
    <x:row r="19">
      <x:c r="A19" s="16" t="str">
        <x:v>EMP-015</x:v>
      </x:c>
      <x:c r="B19" s="16" t="str">
        <x:v>Hanna Lewandowski</x:v>
      </x:c>
      <x:c r="C19" s="16" t="str">
        <x:v>hanna.lewandowski@krkrice.example</x:v>
      </x:c>
      <x:c r="D19" s="16" t="str">
        <x:v>Export Sales</x:v>
      </x:c>
      <x:c r="E19" s="16" t="str">
        <x:v>Sales Operations Coordinator</x:v>
      </x:c>
      <x:c r="F19" s="16" t="str">
        <x:v>Kraków Headquarters</x:v>
      </x:c>
      <x:c r="G19" s="16" t="str">
        <x:v>EMP-001</x:v>
      </x:c>
      <x:c r="H19" s="16" t="str">
        <x:v>2025</x:v>
      </x:c>
      <x:c r="I19" s="16" t="str">
        <x:v>Active</x:v>
      </x:c>
      <x:c r="J19" s="19" t="n">
        <x:v>45032.5</x:v>
      </x:c>
      <x:c r="K19" s="16" t="str">
        <x:v>English</x:v>
      </x:c>
    </x:row>
    <x:row r="20">
      <x:c r="A20" s="16" t="str">
        <x:v>EMP-016</x:v>
      </x:c>
      <x:c r="B20" s="16" t="str">
        <x:v>Marta Bąk</x:v>
      </x:c>
      <x:c r="C20" s="16" t="str">
        <x:v>marta.bak@krkrice.example</x:v>
      </x:c>
      <x:c r="D20" s="16" t="str">
        <x:v>Export Sales</x:v>
      </x:c>
      <x:c r="E20" s="16" t="str">
        <x:v>Account Manager</x:v>
      </x:c>
      <x:c r="F20" s="16" t="str">
        <x:v>Remote - Poland</x:v>
      </x:c>
      <x:c r="G20" s="16" t="str">
        <x:v>EMP-001</x:v>
      </x:c>
      <x:c r="H20" s="16" t="str">
        <x:v>2026</x:v>
      </x:c>
      <x:c r="I20" s="16" t="str">
        <x:v>Active</x:v>
      </x:c>
      <x:c r="J20" s="19" t="n">
        <x:v>45429.5</x:v>
      </x:c>
      <x:c r="K20" s="16" t="str">
        <x:v>English</x:v>
      </x:c>
    </x:row>
    <x:row r="21">
      <x:c r="A21" s="16" t="str">
        <x:v>EMP-017</x:v>
      </x:c>
      <x:c r="B21" s="16" t="str">
        <x:v>Sara Rahman</x:v>
      </x:c>
      <x:c r="C21" s="16" t="str">
        <x:v>sara.rahman@krkrice.example</x:v>
      </x:c>
      <x:c r="D21" s="16" t="str">
        <x:v>Export Sales</x:v>
      </x:c>
      <x:c r="E21" s="16" t="str">
        <x:v>Sales Operations Coordinator</x:v>
      </x:c>
      <x:c r="F21" s="16" t="str">
        <x:v>Kraków Headquarters</x:v>
      </x:c>
      <x:c r="G21" s="16" t="str">
        <x:v>EMP-001</x:v>
      </x:c>
      <x:c r="H21" s="16" t="str">
        <x:v>2027</x:v>
      </x:c>
      <x:c r="I21" s="16" t="str">
        <x:v>Active</x:v>
      </x:c>
      <x:c r="J21" s="19" t="n">
        <x:v>45826.5</x:v>
      </x:c>
      <x:c r="K21" s="16" t="str">
        <x:v>English</x:v>
      </x:c>
    </x:row>
    <x:row r="22">
      <x:c r="A22" s="16" t="str">
        <x:v>EMP-018</x:v>
      </x:c>
      <x:c r="B22" s="16" t="str">
        <x:v>Marek Alvarez</x:v>
      </x:c>
      <x:c r="C22" s="16" t="str">
        <x:v>marek.alvarez@krkrice.example</x:v>
      </x:c>
      <x:c r="D22" s="16" t="str">
        <x:v>Logistics</x:v>
      </x:c>
      <x:c r="E22" s="16" t="str">
        <x:v>Head of Logistics</x:v>
      </x:c>
      <x:c r="F22" s="16" t="str">
        <x:v>Kraków Headquarters</x:v>
      </x:c>
      <x:c r="G22" s="16" t="str"/>
      <x:c r="H22" s="16" t="str">
        <x:v>2028</x:v>
      </x:c>
      <x:c r="I22" s="16" t="str">
        <x:v>Active</x:v>
      </x:c>
      <x:c r="J22" s="19" t="n">
        <x:v>42935.5</x:v>
      </x:c>
      <x:c r="K22" s="16" t="str">
        <x:v>Polish, English</x:v>
      </x:c>
    </x:row>
    <x:row r="23">
      <x:c r="A23" s="16" t="str">
        <x:v>EMP-019</x:v>
      </x:c>
      <x:c r="B23" s="16" t="str">
        <x:v>Piotr Pawlak</x:v>
      </x:c>
      <x:c r="C23" s="16" t="str">
        <x:v>piotr.pawlak@krkrice.example</x:v>
      </x:c>
      <x:c r="D23" s="16" t="str">
        <x:v>Logistics</x:v>
      </x:c>
      <x:c r="E23" s="16" t="str">
        <x:v>Customs Documentation Specialist</x:v>
      </x:c>
      <x:c r="F23" s="16" t="str">
        <x:v>Kraków Headquarters</x:v>
      </x:c>
      <x:c r="G23" s="16" t="str">
        <x:v>EMP-018</x:v>
      </x:c>
      <x:c r="H23" s="16" t="str">
        <x:v>2029</x:v>
      </x:c>
      <x:c r="I23" s="16" t="str">
        <x:v>Active</x:v>
      </x:c>
      <x:c r="J23" s="19" t="n">
        <x:v>43332.5</x:v>
      </x:c>
      <x:c r="K23" s="16" t="str">
        <x:v>English</x:v>
      </x:c>
    </x:row>
    <x:row r="24">
      <x:c r="A24" s="16" t="str">
        <x:v>EMP-020</x:v>
      </x:c>
      <x:c r="B24" s="16" t="str">
        <x:v>Aisha Kaczmarek</x:v>
      </x:c>
      <x:c r="C24" s="16" t="str">
        <x:v>aisha.kaczmarek@krkrice.example</x:v>
      </x:c>
      <x:c r="D24" s="16" t="str">
        <x:v>Logistics</x:v>
      </x:c>
      <x:c r="E24" s="16" t="str">
        <x:v>Shipment Planner</x:v>
      </x:c>
      <x:c r="F24" s="16" t="str">
        <x:v>Kraków Headquarters</x:v>
      </x:c>
      <x:c r="G24" s="16" t="str">
        <x:v>EMP-018</x:v>
      </x:c>
      <x:c r="H24" s="16" t="str">
        <x:v>2020</x:v>
      </x:c>
      <x:c r="I24" s="16" t="str">
        <x:v>Active</x:v>
      </x:c>
      <x:c r="J24" s="19" t="n">
        <x:v>43729.5</x:v>
      </x:c>
      <x:c r="K24" s="16" t="str">
        <x:v>English</x:v>
      </x:c>
    </x:row>
    <x:row r="25">
      <x:c r="A25" s="16" t="str">
        <x:v>EMP-021</x:v>
      </x:c>
      <x:c r="B25" s="16" t="str">
        <x:v>Karolina Zając</x:v>
      </x:c>
      <x:c r="C25" s="16" t="str">
        <x:v>karolina.zajac@krkrice.example</x:v>
      </x:c>
      <x:c r="D25" s="16" t="str">
        <x:v>Logistics</x:v>
      </x:c>
      <x:c r="E25" s="16" t="str">
        <x:v>Shipment Planner</x:v>
      </x:c>
      <x:c r="F25" s="16" t="str">
        <x:v>Kraków Headquarters</x:v>
      </x:c>
      <x:c r="G25" s="16" t="str">
        <x:v>EMP-018</x:v>
      </x:c>
      <x:c r="H25" s="16" t="str">
        <x:v>2021</x:v>
      </x:c>
      <x:c r="I25" s="16" t="str">
        <x:v>Active</x:v>
      </x:c>
      <x:c r="J25" s="19" t="n">
        <x:v>44126.5</x:v>
      </x:c>
      <x:c r="K25" s="16" t="str">
        <x:v>English</x:v>
      </x:c>
    </x:row>
    <x:row r="26">
      <x:c r="A26" s="16" t="str">
        <x:v>EMP-022</x:v>
      </x:c>
      <x:c r="B26" s="16" t="str">
        <x:v>Michał Nowak</x:v>
      </x:c>
      <x:c r="C26" s="16" t="str">
        <x:v>michal.nowak@krkrice.example</x:v>
      </x:c>
      <x:c r="D26" s="16" t="str">
        <x:v>Logistics</x:v>
      </x:c>
      <x:c r="E26" s="16" t="str">
        <x:v>Customs Documentation Specialist</x:v>
      </x:c>
      <x:c r="F26" s="16" t="str">
        <x:v>Kraków Headquarters</x:v>
      </x:c>
      <x:c r="G26" s="16" t="str">
        <x:v>EMP-018</x:v>
      </x:c>
      <x:c r="H26" s="16" t="str">
        <x:v>2022</x:v>
      </x:c>
      <x:c r="I26" s="16" t="str">
        <x:v>Active</x:v>
      </x:c>
      <x:c r="J26" s="19" t="n">
        <x:v>44523.5</x:v>
      </x:c>
      <x:c r="K26" s="16" t="str">
        <x:v>English</x:v>
      </x:c>
    </x:row>
    <x:row r="27">
      <x:c r="A27" s="16" t="str">
        <x:v>EMP-023</x:v>
      </x:c>
      <x:c r="B27" s="16" t="str">
        <x:v>Yuki Garcia</x:v>
      </x:c>
      <x:c r="C27" s="16" t="str">
        <x:v>yuki.garcia@krkrice.example</x:v>
      </x:c>
      <x:c r="D27" s="16" t="str">
        <x:v>Logistics</x:v>
      </x:c>
      <x:c r="E27" s="16" t="str">
        <x:v>Shipment Planner</x:v>
      </x:c>
      <x:c r="F27" s="16" t="str">
        <x:v>Kraków Headquarters</x:v>
      </x:c>
      <x:c r="G27" s="16" t="str">
        <x:v>EMP-018</x:v>
      </x:c>
      <x:c r="H27" s="16" t="str">
        <x:v>2023</x:v>
      </x:c>
      <x:c r="I27" s="16" t="str">
        <x:v>Active</x:v>
      </x:c>
      <x:c r="J27" s="19" t="n">
        <x:v>44919.5</x:v>
      </x:c>
      <x:c r="K27" s="16" t="str">
        <x:v>English</x:v>
      </x:c>
    </x:row>
    <x:row r="28">
      <x:c r="A28" s="16" t="str">
        <x:v>EMP-024</x:v>
      </x:c>
      <x:c r="B28" s="16" t="str">
        <x:v>Fatima Tanaka</x:v>
      </x:c>
      <x:c r="C28" s="16" t="str">
        <x:v>fatima.tanaka@krkrice.example</x:v>
      </x:c>
      <x:c r="D28" s="16" t="str">
        <x:v>Logistics</x:v>
      </x:c>
      <x:c r="E28" s="16" t="str">
        <x:v>Shipment Planner</x:v>
      </x:c>
      <x:c r="F28" s="16" t="str">
        <x:v>Remote - Poland</x:v>
      </x:c>
      <x:c r="G28" s="16" t="str">
        <x:v>EMP-018</x:v>
      </x:c>
      <x:c r="H28" s="16" t="str">
        <x:v>2024</x:v>
      </x:c>
      <x:c r="I28" s="16" t="str">
        <x:v>Active</x:v>
      </x:c>
      <x:c r="J28" s="19" t="n">
        <x:v>44951.5</x:v>
      </x:c>
      <x:c r="K28" s="16" t="str">
        <x:v>English</x:v>
      </x:c>
    </x:row>
    <x:row r="29">
      <x:c r="A29" s="16" t="str">
        <x:v>EMP-025</x:v>
      </x:c>
      <x:c r="B29" s="16" t="str">
        <x:v>Marek Lis</x:v>
      </x:c>
      <x:c r="C29" s="16" t="str">
        <x:v>marek.lis@krkrice.example</x:v>
      </x:c>
      <x:c r="D29" s="16" t="str">
        <x:v>Logistics</x:v>
      </x:c>
      <x:c r="E29" s="16" t="str">
        <x:v>Shipment Planner</x:v>
      </x:c>
      <x:c r="F29" s="16" t="str">
        <x:v>Kraków Headquarters</x:v>
      </x:c>
      <x:c r="G29" s="16" t="str">
        <x:v>EMP-018</x:v>
      </x:c>
      <x:c r="H29" s="16" t="str">
        <x:v>2025</x:v>
      </x:c>
      <x:c r="I29" s="16" t="str">
        <x:v>Active</x:v>
      </x:c>
      <x:c r="J29" s="19" t="n">
        <x:v>45323.5</x:v>
      </x:c>
      <x:c r="K29" s="16" t="str">
        <x:v>English</x:v>
      </x:c>
    </x:row>
    <x:row r="30">
      <x:c r="A30" s="16" t="str">
        <x:v>EMP-026</x:v>
      </x:c>
      <x:c r="B30" s="16" t="str">
        <x:v>Piotr Chen</x:v>
      </x:c>
      <x:c r="C30" s="16" t="str">
        <x:v>piotr.chen@krkrice.example</x:v>
      </x:c>
      <x:c r="D30" s="16" t="str">
        <x:v>Logistics</x:v>
      </x:c>
      <x:c r="E30" s="16" t="str">
        <x:v>Customs Documentation Specialist</x:v>
      </x:c>
      <x:c r="F30" s="16" t="str">
        <x:v>Kraków Headquarters</x:v>
      </x:c>
      <x:c r="G30" s="16" t="str">
        <x:v>EMP-018</x:v>
      </x:c>
      <x:c r="H30" s="16" t="str">
        <x:v>2026</x:v>
      </x:c>
      <x:c r="I30" s="16" t="str">
        <x:v>Active</x:v>
      </x:c>
      <x:c r="J30" s="19" t="n">
        <x:v>45718.5</x:v>
      </x:c>
      <x:c r="K30" s="16" t="str">
        <x:v>English</x:v>
      </x:c>
    </x:row>
    <x:row r="31">
      <x:c r="A31" s="16" t="str">
        <x:v>EMP-027</x:v>
      </x:c>
      <x:c r="B31" s="16" t="str">
        <x:v>Aisha Sikora</x:v>
      </x:c>
      <x:c r="C31" s="16" t="str">
        <x:v>aisha.sikora@krkrice.example</x:v>
      </x:c>
      <x:c r="D31" s="16" t="str">
        <x:v>Logistics</x:v>
      </x:c>
      <x:c r="E31" s="16" t="str">
        <x:v>Logistics Coordinator</x:v>
      </x:c>
      <x:c r="F31" s="16" t="str">
        <x:v>Kraków Headquarters</x:v>
      </x:c>
      <x:c r="G31" s="16" t="str">
        <x:v>EMP-018</x:v>
      </x:c>
      <x:c r="H31" s="16" t="str">
        <x:v>2027</x:v>
      </x:c>
      <x:c r="I31" s="16" t="str">
        <x:v>Active</x:v>
      </x:c>
      <x:c r="J31" s="19" t="n">
        <x:v>42828.5</x:v>
      </x:c>
      <x:c r="K31" s="16" t="str">
        <x:v>Polish, English</x:v>
      </x:c>
    </x:row>
    <x:row r="32">
      <x:c r="A32" s="16" t="str">
        <x:v>EMP-028</x:v>
      </x:c>
      <x:c r="B32" s="16" t="str">
        <x:v>Karolina Krawczyk</x:v>
      </x:c>
      <x:c r="C32" s="16" t="str">
        <x:v>karolina.krawczyk@krkrice.example</x:v>
      </x:c>
      <x:c r="D32" s="16" t="str">
        <x:v>Logistics</x:v>
      </x:c>
      <x:c r="E32" s="16" t="str">
        <x:v>Shipment Planner</x:v>
      </x:c>
      <x:c r="F32" s="16" t="str">
        <x:v>Kraków Headquarters</x:v>
      </x:c>
      <x:c r="G32" s="16" t="str">
        <x:v>EMP-018</x:v>
      </x:c>
      <x:c r="H32" s="16" t="str">
        <x:v>2028</x:v>
      </x:c>
      <x:c r="I32" s="16" t="str">
        <x:v>Active</x:v>
      </x:c>
      <x:c r="J32" s="19" t="n">
        <x:v>43224.5</x:v>
      </x:c>
      <x:c r="K32" s="16" t="str">
        <x:v>English</x:v>
      </x:c>
    </x:row>
    <x:row r="33">
      <x:c r="A33" s="16" t="str">
        <x:v>EMP-029</x:v>
      </x:c>
      <x:c r="B33" s="16" t="str">
        <x:v>Michał Alvarez</x:v>
      </x:c>
      <x:c r="C33" s="16" t="str">
        <x:v>michal.alvarez@krkrice.example</x:v>
      </x:c>
      <x:c r="D33" s="16" t="str">
        <x:v>Logistics</x:v>
      </x:c>
      <x:c r="E33" s="16" t="str">
        <x:v>Shipment Planner</x:v>
      </x:c>
      <x:c r="F33" s="16" t="str">
        <x:v>Kraków Headquarters</x:v>
      </x:c>
      <x:c r="G33" s="16" t="str">
        <x:v>EMP-018</x:v>
      </x:c>
      <x:c r="H33" s="16" t="str">
        <x:v>2029</x:v>
      </x:c>
      <x:c r="I33" s="16" t="str">
        <x:v>Active</x:v>
      </x:c>
      <x:c r="J33" s="19" t="n">
        <x:v>43621.5</x:v>
      </x:c>
      <x:c r="K33" s="16" t="str">
        <x:v>English</x:v>
      </x:c>
    </x:row>
    <x:row r="34">
      <x:c r="A34" s="16" t="str">
        <x:v>EMP-030</x:v>
      </x:c>
      <x:c r="B34" s="16" t="str">
        <x:v>Yuki Pawlak</x:v>
      </x:c>
      <x:c r="C34" s="16" t="str">
        <x:v>yuki.pawlak@krkrice.example</x:v>
      </x:c>
      <x:c r="D34" s="16" t="str">
        <x:v>Logistics</x:v>
      </x:c>
      <x:c r="E34" s="16" t="str">
        <x:v>Logistics Coordinator</x:v>
      </x:c>
      <x:c r="F34" s="16" t="str">
        <x:v>Kraków Headquarters</x:v>
      </x:c>
      <x:c r="G34" s="16" t="str">
        <x:v>EMP-018</x:v>
      </x:c>
      <x:c r="H34" s="16" t="str">
        <x:v>2020</x:v>
      </x:c>
      <x:c r="I34" s="16" t="str">
        <x:v>Active</x:v>
      </x:c>
      <x:c r="J34" s="19" t="n">
        <x:v>44018.5</x:v>
      </x:c>
      <x:c r="K34" s="16" t="str">
        <x:v>English</x:v>
      </x:c>
    </x:row>
    <x:row r="35">
      <x:c r="A35" s="16" t="str">
        <x:v>EMP-031</x:v>
      </x:c>
      <x:c r="B35" s="16" t="str">
        <x:v>Fatima Kaczmarek</x:v>
      </x:c>
      <x:c r="C35" s="16" t="str">
        <x:v>fatima.kaczmarek@krkrice.example</x:v>
      </x:c>
      <x:c r="D35" s="16" t="str">
        <x:v>Logistics</x:v>
      </x:c>
      <x:c r="E35" s="16" t="str">
        <x:v>Customs Documentation Specialist</x:v>
      </x:c>
      <x:c r="F35" s="16" t="str">
        <x:v>Kraków Headquarters</x:v>
      </x:c>
      <x:c r="G35" s="16" t="str">
        <x:v>EMP-018</x:v>
      </x:c>
      <x:c r="H35" s="16" t="str">
        <x:v>2021</x:v>
      </x:c>
      <x:c r="I35" s="16" t="str">
        <x:v>Active</x:v>
      </x:c>
      <x:c r="J35" s="19" t="n">
        <x:v>44415.5</x:v>
      </x:c>
      <x:c r="K35" s="16" t="str">
        <x:v>English</x:v>
      </x:c>
    </x:row>
    <x:row r="36">
      <x:c r="A36" s="16" t="str">
        <x:v>EMP-032</x:v>
      </x:c>
      <x:c r="B36" s="16" t="str">
        <x:v>Marek Zając</x:v>
      </x:c>
      <x:c r="C36" s="16" t="str">
        <x:v>marek.zajac@krkrice.example</x:v>
      </x:c>
      <x:c r="D36" s="16" t="str">
        <x:v>Logistics</x:v>
      </x:c>
      <x:c r="E36" s="16" t="str">
        <x:v>Shipment Planner</x:v>
      </x:c>
      <x:c r="F36" s="16" t="str">
        <x:v>Remote - Poland</x:v>
      </x:c>
      <x:c r="G36" s="16" t="str">
        <x:v>EMP-018</x:v>
      </x:c>
      <x:c r="H36" s="16" t="str">
        <x:v>2022</x:v>
      </x:c>
      <x:c r="I36" s="16" t="str">
        <x:v>Active</x:v>
      </x:c>
      <x:c r="J36" s="19" t="n">
        <x:v>44812.5</x:v>
      </x:c>
      <x:c r="K36" s="16" t="str">
        <x:v>English</x:v>
      </x:c>
    </x:row>
    <x:row r="37">
      <x:c r="A37" s="16" t="str">
        <x:v>EMP-033</x:v>
      </x:c>
      <x:c r="B37" s="16" t="str">
        <x:v>Hanna Mazur</x:v>
      </x:c>
      <x:c r="C37" s="16" t="str">
        <x:v>hanna.mazur@krkrice.example</x:v>
      </x:c>
      <x:c r="D37" s="16" t="str">
        <x:v>Warehouse</x:v>
      </x:c>
      <x:c r="E37" s="16" t="str">
        <x:v>Head of Warehouse</x:v>
      </x:c>
      <x:c r="F37" s="16" t="str">
        <x:v>Kraków Operations Centre</x:v>
      </x:c>
      <x:c r="G37" s="16" t="str"/>
      <x:c r="H37" s="16" t="str">
        <x:v>2023</x:v>
      </x:c>
      <x:c r="I37" s="16" t="str">
        <x:v>Active</x:v>
      </x:c>
      <x:c r="J37" s="19" t="n">
        <x:v>45208.5</x:v>
      </x:c>
      <x:c r="K37" s="16" t="str">
        <x:v>English</x:v>
      </x:c>
    </x:row>
    <x:row r="38">
      <x:c r="A38" s="16" t="str">
        <x:v>EMP-034</x:v>
      </x:c>
      <x:c r="B38" s="16" t="str">
        <x:v>Marta Dąbrowski</x:v>
      </x:c>
      <x:c r="C38" s="16" t="str">
        <x:v>marta.dabrowski@krkrice.example</x:v>
      </x:c>
      <x:c r="D38" s="16" t="str">
        <x:v>Warehouse</x:v>
      </x:c>
      <x:c r="E38" s="16" t="str">
        <x:v>Shift Supervisor</x:v>
      </x:c>
      <x:c r="F38" s="16" t="str">
        <x:v>Kraków Operations Centre</x:v>
      </x:c>
      <x:c r="G38" s="16" t="str">
        <x:v>EMP-033</x:v>
      </x:c>
      <x:c r="H38" s="16" t="str">
        <x:v>2024</x:v>
      </x:c>
      <x:c r="I38" s="16" t="str">
        <x:v>Active</x:v>
      </x:c>
      <x:c r="J38" s="19" t="n">
        <x:v>45606.5</x:v>
      </x:c>
      <x:c r="K38" s="16" t="str">
        <x:v>English</x:v>
      </x:c>
    </x:row>
    <x:row r="39">
      <x:c r="A39" s="16" t="str">
        <x:v>EMP-035</x:v>
      </x:c>
      <x:c r="B39" s="16" t="str">
        <x:v>Sara Szymański</x:v>
      </x:c>
      <x:c r="C39" s="16" t="str">
        <x:v>sara.szymanski@krkrice.example</x:v>
      </x:c>
      <x:c r="D39" s="16" t="str">
        <x:v>Warehouse</x:v>
      </x:c>
      <x:c r="E39" s="16" t="str">
        <x:v>Warehouse Operator</x:v>
      </x:c>
      <x:c r="F39" s="16" t="str">
        <x:v>Kraków Operations Centre</x:v>
      </x:c>
      <x:c r="G39" s="16" t="str">
        <x:v>EMP-033</x:v>
      </x:c>
      <x:c r="H39" s="16" t="str">
        <x:v>2025</x:v>
      </x:c>
      <x:c r="I39" s="16" t="str">
        <x:v>Active</x:v>
      </x:c>
      <x:c r="J39" s="19" t="n">
        <x:v>46002.5</x:v>
      </x:c>
      <x:c r="K39" s="16" t="str">
        <x:v>English</x:v>
      </x:c>
    </x:row>
    <x:row r="40">
      <x:c r="A40" s="16" t="str">
        <x:v>EMP-036</x:v>
      </x:c>
      <x:c r="B40" s="16" t="str">
        <x:v>Carlos Lewandowski</x:v>
      </x:c>
      <x:c r="C40" s="16" t="str">
        <x:v>carlos.lewandowski@krkrice.example</x:v>
      </x:c>
      <x:c r="D40" s="16" t="str">
        <x:v>Warehouse</x:v>
      </x:c>
      <x:c r="E40" s="16" t="str">
        <x:v>Shift Supervisor</x:v>
      </x:c>
      <x:c r="F40" s="16" t="str">
        <x:v>Kraków Operations Centre</x:v>
      </x:c>
      <x:c r="G40" s="16" t="str">
        <x:v>EMP-033</x:v>
      </x:c>
      <x:c r="H40" s="16" t="str">
        <x:v>2026</x:v>
      </x:c>
      <x:c r="I40" s="16" t="str">
        <x:v>Active</x:v>
      </x:c>
      <x:c r="J40" s="19" t="n">
        <x:v>42747.5</x:v>
      </x:c>
      <x:c r="K40" s="16" t="str">
        <x:v>Polish, English</x:v>
      </x:c>
    </x:row>
    <x:row r="41">
      <x:c r="A41" s="16" t="str">
        <x:v>EMP-037</x:v>
      </x:c>
      <x:c r="B41" s="16" t="str">
        <x:v>Katarzyna Bąk</x:v>
      </x:c>
      <x:c r="C41" s="16" t="str">
        <x:v>katarzyna.bak@krkrice.example</x:v>
      </x:c>
      <x:c r="D41" s="16" t="str">
        <x:v>Warehouse</x:v>
      </x:c>
      <x:c r="E41" s="16" t="str">
        <x:v>Warehouse Operator</x:v>
      </x:c>
      <x:c r="F41" s="16" t="str">
        <x:v>Kraków Operations Centre</x:v>
      </x:c>
      <x:c r="G41" s="16" t="str">
        <x:v>EMP-033</x:v>
      </x:c>
      <x:c r="H41" s="16" t="str">
        <x:v>2027</x:v>
      </x:c>
      <x:c r="I41" s="16" t="str">
        <x:v>Active</x:v>
      </x:c>
      <x:c r="J41" s="19" t="n">
        <x:v>43144.5</x:v>
      </x:c>
      <x:c r="K41" s="16" t="str">
        <x:v>English</x:v>
      </x:c>
    </x:row>
    <x:row r="42">
      <x:c r="A42" s="16" t="str">
        <x:v>EMP-038</x:v>
      </x:c>
      <x:c r="B42" s="16" t="str">
        <x:v>Nadia Rahman</x:v>
      </x:c>
      <x:c r="C42" s="16" t="str">
        <x:v>nadia.rahman@krkrice.example</x:v>
      </x:c>
      <x:c r="D42" s="16" t="str">
        <x:v>Warehouse</x:v>
      </x:c>
      <x:c r="E42" s="16" t="str">
        <x:v>Shift Supervisor</x:v>
      </x:c>
      <x:c r="F42" s="16" t="str">
        <x:v>Kraków Operations Centre</x:v>
      </x:c>
      <x:c r="G42" s="16" t="str">
        <x:v>EMP-033</x:v>
      </x:c>
      <x:c r="H42" s="16" t="str">
        <x:v>2028</x:v>
      </x:c>
      <x:c r="I42" s="16" t="str">
        <x:v>Active</x:v>
      </x:c>
      <x:c r="J42" s="19" t="n">
        <x:v>43538.5</x:v>
      </x:c>
      <x:c r="K42" s="16" t="str">
        <x:v>English</x:v>
      </x:c>
    </x:row>
    <x:row r="43">
      <x:c r="A43" s="16" t="str">
        <x:v>EMP-039</x:v>
      </x:c>
      <x:c r="B43" s="16" t="str">
        <x:v>Zofia Kowalski</x:v>
      </x:c>
      <x:c r="C43" s="16" t="str">
        <x:v>zofia.kowalski@krkrice.example</x:v>
      </x:c>
      <x:c r="D43" s="16" t="str">
        <x:v>Warehouse</x:v>
      </x:c>
      <x:c r="E43" s="16" t="str">
        <x:v>Inventory Controller</x:v>
      </x:c>
      <x:c r="F43" s="16" t="str">
        <x:v>Kraków Operations Centre</x:v>
      </x:c>
      <x:c r="G43" s="16" t="str">
        <x:v>EMP-033</x:v>
      </x:c>
      <x:c r="H43" s="16" t="str">
        <x:v>2029</x:v>
      </x:c>
      <x:c r="I43" s="16" t="str">
        <x:v>Active</x:v>
      </x:c>
      <x:c r="J43" s="19" t="n">
        <x:v>43936.5</x:v>
      </x:c>
      <x:c r="K43" s="16" t="str">
        <x:v>English</x:v>
      </x:c>
    </x:row>
    <x:row r="44">
      <x:c r="A44" s="16" t="str">
        <x:v>EMP-040</x:v>
      </x:c>
      <x:c r="B44" s="16" t="str">
        <x:v>Hanna Zieliński</x:v>
      </x:c>
      <x:c r="C44" s="16" t="str">
        <x:v>hanna.zielinski@krkrice.example</x:v>
      </x:c>
      <x:c r="D44" s="16" t="str">
        <x:v>Warehouse</x:v>
      </x:c>
      <x:c r="E44" s="16" t="str">
        <x:v>Shift Supervisor</x:v>
      </x:c>
      <x:c r="F44" s="16" t="str">
        <x:v>Kraków Operations Centre</x:v>
      </x:c>
      <x:c r="G44" s="16" t="str">
        <x:v>EMP-033</x:v>
      </x:c>
      <x:c r="H44" s="16" t="str">
        <x:v>2020</x:v>
      </x:c>
      <x:c r="I44" s="16" t="str">
        <x:v>Active</x:v>
      </x:c>
      <x:c r="J44" s="19" t="n">
        <x:v>44332.5</x:v>
      </x:c>
      <x:c r="K44" s="16" t="str">
        <x:v>English</x:v>
      </x:c>
    </x:row>
    <x:row r="45">
      <x:c r="A45" s="16" t="str">
        <x:v>EMP-041</x:v>
      </x:c>
      <x:c r="B45" s="16" t="str">
        <x:v>Marta O'Connor</x:v>
      </x:c>
      <x:c r="C45" s="16" t="str">
        <x:v>marta.oconnor@krkrice.example</x:v>
      </x:c>
      <x:c r="D45" s="16" t="str">
        <x:v>Warehouse</x:v>
      </x:c>
      <x:c r="E45" s="16" t="str">
        <x:v>Inventory Controller</x:v>
      </x:c>
      <x:c r="F45" s="16" t="str">
        <x:v>Kraków Operations Centre</x:v>
      </x:c>
      <x:c r="G45" s="16" t="str">
        <x:v>EMP-033</x:v>
      </x:c>
      <x:c r="H45" s="16" t="str">
        <x:v>2021</x:v>
      </x:c>
      <x:c r="I45" s="16" t="str">
        <x:v>Active</x:v>
      </x:c>
      <x:c r="J45" s="19" t="n">
        <x:v>44729.5</x:v>
      </x:c>
      <x:c r="K45" s="16" t="str">
        <x:v>English</x:v>
      </x:c>
    </x:row>
    <x:row r="46">
      <x:c r="A46" s="16" t="str">
        <x:v>EMP-042</x:v>
      </x:c>
      <x:c r="B46" s="16" t="str">
        <x:v>Sara Jankowski</x:v>
      </x:c>
      <x:c r="C46" s="16" t="str">
        <x:v>sara.jankowski@krkrice.example</x:v>
      </x:c>
      <x:c r="D46" s="16" t="str">
        <x:v>Warehouse</x:v>
      </x:c>
      <x:c r="E46" s="16" t="str">
        <x:v>Shift Supervisor</x:v>
      </x:c>
      <x:c r="F46" s="16" t="str">
        <x:v>Kraków Operations Centre</x:v>
      </x:c>
      <x:c r="G46" s="16" t="str">
        <x:v>EMP-033</x:v>
      </x:c>
      <x:c r="H46" s="16" t="str">
        <x:v>2022</x:v>
      </x:c>
      <x:c r="I46" s="16" t="str">
        <x:v>Active</x:v>
      </x:c>
      <x:c r="J46" s="19" t="n">
        <x:v>45125.5</x:v>
      </x:c>
      <x:c r="K46" s="16" t="str">
        <x:v>English</x:v>
      </x:c>
    </x:row>
    <x:row r="47">
      <x:c r="A47" s="16" t="str">
        <x:v>EMP-043</x:v>
      </x:c>
      <x:c r="B47" s="16" t="str">
        <x:v>Carlos Wójcik</x:v>
      </x:c>
      <x:c r="C47" s="16" t="str">
        <x:v>carlos.wojcik@krkrice.example</x:v>
      </x:c>
      <x:c r="D47" s="16" t="str">
        <x:v>Warehouse</x:v>
      </x:c>
      <x:c r="E47" s="16" t="str">
        <x:v>Inventory Controller</x:v>
      </x:c>
      <x:c r="F47" s="16" t="str">
        <x:v>Kraków Operations Centre</x:v>
      </x:c>
      <x:c r="G47" s="16" t="str">
        <x:v>EMP-033</x:v>
      </x:c>
      <x:c r="H47" s="16" t="str">
        <x:v>2023</x:v>
      </x:c>
      <x:c r="I47" s="16" t="str">
        <x:v>Active</x:v>
      </x:c>
      <x:c r="J47" s="19" t="n">
        <x:v>45523.5</x:v>
      </x:c>
      <x:c r="K47" s="16" t="str">
        <x:v>English</x:v>
      </x:c>
    </x:row>
    <x:row r="48">
      <x:c r="A48" s="16" t="str">
        <x:v>EMP-044</x:v>
      </x:c>
      <x:c r="B48" s="16" t="str">
        <x:v>Katarzyna Mazur</x:v>
      </x:c>
      <x:c r="C48" s="16" t="str">
        <x:v>katarzyna.mazur@krkrice.example</x:v>
      </x:c>
      <x:c r="D48" s="16" t="str">
        <x:v>Warehouse</x:v>
      </x:c>
      <x:c r="E48" s="16" t="str">
        <x:v>Inventory Controller</x:v>
      </x:c>
      <x:c r="F48" s="16" t="str">
        <x:v>Kraków Operations Centre</x:v>
      </x:c>
      <x:c r="G48" s="16" t="str">
        <x:v>EMP-033</x:v>
      </x:c>
      <x:c r="H48" s="16" t="str">
        <x:v>2024</x:v>
      </x:c>
      <x:c r="I48" s="16" t="str">
        <x:v>Active</x:v>
      </x:c>
      <x:c r="J48" s="19" t="n">
        <x:v>45920.5</x:v>
      </x:c>
      <x:c r="K48" s="16" t="str">
        <x:v>English</x:v>
      </x:c>
    </x:row>
    <x:row r="49">
      <x:c r="A49" s="16" t="str">
        <x:v>EMP-045</x:v>
      </x:c>
      <x:c r="B49" s="16" t="str">
        <x:v>Nadia Dąbrowski</x:v>
      </x:c>
      <x:c r="C49" s="16" t="str">
        <x:v>nadia.dabrowski@krkrice.example</x:v>
      </x:c>
      <x:c r="D49" s="16" t="str">
        <x:v>Warehouse</x:v>
      </x:c>
      <x:c r="E49" s="16" t="str">
        <x:v>Warehouse Operator</x:v>
      </x:c>
      <x:c r="F49" s="16" t="str">
        <x:v>Kraków Operations Centre</x:v>
      </x:c>
      <x:c r="G49" s="16" t="str">
        <x:v>EMP-033</x:v>
      </x:c>
      <x:c r="H49" s="16" t="str">
        <x:v>2025</x:v>
      </x:c>
      <x:c r="I49" s="16" t="str">
        <x:v>Active</x:v>
      </x:c>
      <x:c r="J49" s="19" t="n">
        <x:v>43029.5</x:v>
      </x:c>
      <x:c r="K49" s="16" t="str">
        <x:v>Polish, English</x:v>
      </x:c>
    </x:row>
    <x:row r="50">
      <x:c r="A50" s="16" t="str">
        <x:v>EMP-046</x:v>
      </x:c>
      <x:c r="B50" s="16" t="str">
        <x:v>Zofia Szymański</x:v>
      </x:c>
      <x:c r="C50" s="16" t="str">
        <x:v>zofia.szymanski@krkrice.example</x:v>
      </x:c>
      <x:c r="D50" s="16" t="str">
        <x:v>Warehouse</x:v>
      </x:c>
      <x:c r="E50" s="16" t="str">
        <x:v>Shift Supervisor</x:v>
      </x:c>
      <x:c r="F50" s="16" t="str">
        <x:v>Kraków Operations Centre</x:v>
      </x:c>
      <x:c r="G50" s="16" t="str">
        <x:v>EMP-033</x:v>
      </x:c>
      <x:c r="H50" s="16" t="str">
        <x:v>2026</x:v>
      </x:c>
      <x:c r="I50" s="16" t="str">
        <x:v>Active</x:v>
      </x:c>
      <x:c r="J50" s="19" t="n">
        <x:v>43426.5</x:v>
      </x:c>
      <x:c r="K50" s="16" t="str">
        <x:v>English</x:v>
      </x:c>
    </x:row>
    <x:row r="51">
      <x:c r="A51" s="16" t="str">
        <x:v>EMP-047</x:v>
      </x:c>
      <x:c r="B51" s="16" t="str">
        <x:v>Hanna Lewandowski</x:v>
      </x:c>
      <x:c r="C51" s="16" t="str">
        <x:v>hanna.lewandowski@krkrice.example</x:v>
      </x:c>
      <x:c r="D51" s="16" t="str">
        <x:v>Warehouse</x:v>
      </x:c>
      <x:c r="E51" s="16" t="str">
        <x:v>Shift Supervisor</x:v>
      </x:c>
      <x:c r="F51" s="16" t="str">
        <x:v>Kraków Operations Centre</x:v>
      </x:c>
      <x:c r="G51" s="16" t="str">
        <x:v>EMP-033</x:v>
      </x:c>
      <x:c r="H51" s="16" t="str">
        <x:v>2027</x:v>
      </x:c>
      <x:c r="I51" s="16" t="str">
        <x:v>Active</x:v>
      </x:c>
      <x:c r="J51" s="19" t="n">
        <x:v>43822.5</x:v>
      </x:c>
      <x:c r="K51" s="16" t="str">
        <x:v>English</x:v>
      </x:c>
    </x:row>
    <x:row r="52">
      <x:c r="A52" s="16" t="str">
        <x:v>EMP-048</x:v>
      </x:c>
      <x:c r="B52" s="16" t="str">
        <x:v>Marta Bąk</x:v>
      </x:c>
      <x:c r="C52" s="16" t="str">
        <x:v>marta.bak@krkrice.example</x:v>
      </x:c>
      <x:c r="D52" s="16" t="str">
        <x:v>Warehouse</x:v>
      </x:c>
      <x:c r="E52" s="16" t="str">
        <x:v>Warehouse Operator</x:v>
      </x:c>
      <x:c r="F52" s="16" t="str">
        <x:v>Kraków Operations Centre</x:v>
      </x:c>
      <x:c r="G52" s="16" t="str">
        <x:v>EMP-033</x:v>
      </x:c>
      <x:c r="H52" s="16" t="str">
        <x:v>2028</x:v>
      </x:c>
      <x:c r="I52" s="16" t="str">
        <x:v>Active</x:v>
      </x:c>
      <x:c r="J52" s="19" t="n">
        <x:v>43854.5</x:v>
      </x:c>
      <x:c r="K52" s="16" t="str">
        <x:v>English</x:v>
      </x:c>
    </x:row>
    <x:row r="53">
      <x:c r="A53" s="16" t="str">
        <x:v>EMP-049</x:v>
      </x:c>
      <x:c r="B53" s="16" t="str">
        <x:v>Sara Rahman</x:v>
      </x:c>
      <x:c r="C53" s="16" t="str">
        <x:v>sara.rahman@krkrice.example</x:v>
      </x:c>
      <x:c r="D53" s="16" t="str">
        <x:v>Warehouse</x:v>
      </x:c>
      <x:c r="E53" s="16" t="str">
        <x:v>Inventory Controller</x:v>
      </x:c>
      <x:c r="F53" s="16" t="str">
        <x:v>Kraków Operations Centre</x:v>
      </x:c>
      <x:c r="G53" s="16" t="str">
        <x:v>EMP-033</x:v>
      </x:c>
      <x:c r="H53" s="16" t="str">
        <x:v>2029</x:v>
      </x:c>
      <x:c r="I53" s="16" t="str">
        <x:v>Active</x:v>
      </x:c>
      <x:c r="J53" s="19" t="n">
        <x:v>44252.5</x:v>
      </x:c>
      <x:c r="K53" s="16" t="str">
        <x:v>English</x:v>
      </x:c>
    </x:row>
    <x:row r="54">
      <x:c r="A54" s="16" t="str">
        <x:v>EMP-050</x:v>
      </x:c>
      <x:c r="B54" s="16" t="str">
        <x:v>Carlos Kowalski</x:v>
      </x:c>
      <x:c r="C54" s="16" t="str">
        <x:v>carlos.kowalski@krkrice.example</x:v>
      </x:c>
      <x:c r="D54" s="16" t="str">
        <x:v>Warehouse</x:v>
      </x:c>
      <x:c r="E54" s="16" t="str">
        <x:v>Shift Supervisor</x:v>
      </x:c>
      <x:c r="F54" s="16" t="str">
        <x:v>Kraków Operations Centre</x:v>
      </x:c>
      <x:c r="G54" s="16" t="str">
        <x:v>EMP-033</x:v>
      </x:c>
      <x:c r="H54" s="16" t="str">
        <x:v>2020</x:v>
      </x:c>
      <x:c r="I54" s="16" t="str">
        <x:v>Active</x:v>
      </x:c>
      <x:c r="J54" s="19" t="n">
        <x:v>44621.5</x:v>
      </x:c>
      <x:c r="K54" s="16" t="str">
        <x:v>English</x:v>
      </x:c>
    </x:row>
    <x:row r="55">
      <x:c r="A55" s="16" t="str">
        <x:v>EMP-051</x:v>
      </x:c>
      <x:c r="B55" s="16" t="str">
        <x:v>Katarzyna Zieliński</x:v>
      </x:c>
      <x:c r="C55" s="16" t="str">
        <x:v>katarzyna.zielinski@krkrice.example</x:v>
      </x:c>
      <x:c r="D55" s="16" t="str">
        <x:v>Warehouse</x:v>
      </x:c>
      <x:c r="E55" s="16" t="str">
        <x:v>Warehouse Operator</x:v>
      </x:c>
      <x:c r="F55" s="16" t="str">
        <x:v>Kraków Operations Centre</x:v>
      </x:c>
      <x:c r="G55" s="16" t="str">
        <x:v>EMP-033</x:v>
      </x:c>
      <x:c r="H55" s="16" t="str">
        <x:v>2021</x:v>
      </x:c>
      <x:c r="I55" s="16" t="str">
        <x:v>Active</x:v>
      </x:c>
      <x:c r="J55" s="19" t="n">
        <x:v>45018.5</x:v>
      </x:c>
      <x:c r="K55" s="16" t="str">
        <x:v>English</x:v>
      </x:c>
    </x:row>
    <x:row r="56">
      <x:c r="A56" s="16" t="str">
        <x:v>EMP-052</x:v>
      </x:c>
      <x:c r="B56" s="16" t="str">
        <x:v>Nadia O'Connor</x:v>
      </x:c>
      <x:c r="C56" s="16" t="str">
        <x:v>nadia.oconnor@krkrice.example</x:v>
      </x:c>
      <x:c r="D56" s="16" t="str">
        <x:v>Warehouse</x:v>
      </x:c>
      <x:c r="E56" s="16" t="str">
        <x:v>Inventory Controller</x:v>
      </x:c>
      <x:c r="F56" s="16" t="str">
        <x:v>Kraków Operations Centre</x:v>
      </x:c>
      <x:c r="G56" s="16" t="str">
        <x:v>EMP-033</x:v>
      </x:c>
      <x:c r="H56" s="16" t="str">
        <x:v>2022</x:v>
      </x:c>
      <x:c r="I56" s="16" t="str">
        <x:v>Active</x:v>
      </x:c>
      <x:c r="J56" s="19" t="n">
        <x:v>45415.5</x:v>
      </x:c>
      <x:c r="K56" s="16" t="str">
        <x:v>English</x:v>
      </x:c>
    </x:row>
    <x:row r="57">
      <x:c r="A57" s="16" t="str">
        <x:v>EMP-053</x:v>
      </x:c>
      <x:c r="B57" s="16" t="str">
        <x:v>Zofia Jankowski</x:v>
      </x:c>
      <x:c r="C57" s="16" t="str">
        <x:v>zofia.jankowski@krkrice.example</x:v>
      </x:c>
      <x:c r="D57" s="16" t="str">
        <x:v>Warehouse</x:v>
      </x:c>
      <x:c r="E57" s="16" t="str">
        <x:v>Shift Supervisor</x:v>
      </x:c>
      <x:c r="F57" s="16" t="str">
        <x:v>Kraków Operations Centre</x:v>
      </x:c>
      <x:c r="G57" s="16" t="str">
        <x:v>EMP-033</x:v>
      </x:c>
      <x:c r="H57" s="16" t="str">
        <x:v>2023</x:v>
      </x:c>
      <x:c r="I57" s="16" t="str">
        <x:v>Active</x:v>
      </x:c>
      <x:c r="J57" s="19" t="n">
        <x:v>45812.5</x:v>
      </x:c>
      <x:c r="K57" s="16" t="str">
        <x:v>English</x:v>
      </x:c>
    </x:row>
    <x:row r="58">
      <x:c r="A58" s="16" t="str">
        <x:v>EMP-054</x:v>
      </x:c>
      <x:c r="B58" s="16" t="str">
        <x:v>Hanna Wójcik</x:v>
      </x:c>
      <x:c r="C58" s="16" t="str">
        <x:v>hanna.wojcik@krkrice.example</x:v>
      </x:c>
      <x:c r="D58" s="16" t="str">
        <x:v>Warehouse</x:v>
      </x:c>
      <x:c r="E58" s="16" t="str">
        <x:v>Shift Supervisor</x:v>
      </x:c>
      <x:c r="F58" s="16" t="str">
        <x:v>Kraków Operations Centre</x:v>
      </x:c>
      <x:c r="G58" s="16" t="str">
        <x:v>EMP-033</x:v>
      </x:c>
      <x:c r="H58" s="16" t="str">
        <x:v>2024</x:v>
      </x:c>
      <x:c r="I58" s="16" t="str">
        <x:v>Active</x:v>
      </x:c>
      <x:c r="J58" s="19" t="n">
        <x:v>42921.5</x:v>
      </x:c>
      <x:c r="K58" s="16" t="str">
        <x:v>Polish, English</x:v>
      </x:c>
    </x:row>
    <x:row r="59">
      <x:c r="A59" s="16" t="str">
        <x:v>EMP-055</x:v>
      </x:c>
      <x:c r="B59" s="16" t="str">
        <x:v>Marta Mazur</x:v>
      </x:c>
      <x:c r="C59" s="16" t="str">
        <x:v>marta.mazur@krkrice.example</x:v>
      </x:c>
      <x:c r="D59" s="16" t="str">
        <x:v>Warehouse</x:v>
      </x:c>
      <x:c r="E59" s="16" t="str">
        <x:v>Inventory Controller</x:v>
      </x:c>
      <x:c r="F59" s="16" t="str">
        <x:v>Kraków Operations Centre</x:v>
      </x:c>
      <x:c r="G59" s="16" t="str">
        <x:v>EMP-033</x:v>
      </x:c>
      <x:c r="H59" s="16" t="str">
        <x:v>2025</x:v>
      </x:c>
      <x:c r="I59" s="16" t="str">
        <x:v>Active</x:v>
      </x:c>
      <x:c r="J59" s="19" t="n">
        <x:v>43318.5</x:v>
      </x:c>
      <x:c r="K59" s="16" t="str">
        <x:v>English</x:v>
      </x:c>
    </x:row>
    <x:row r="60">
      <x:c r="A60" s="16" t="str">
        <x:v>EMP-056</x:v>
      </x:c>
      <x:c r="B60" s="16" t="str">
        <x:v>Aleksandra Alvarez</x:v>
      </x:c>
      <x:c r="C60" s="16" t="str">
        <x:v>aleksandra.alvarez@krkrice.example</x:v>
      </x:c>
      <x:c r="D60" s="16" t="str">
        <x:v>Quality Control</x:v>
      </x:c>
      <x:c r="E60" s="16" t="str">
        <x:v>Head of Quality Control</x:v>
      </x:c>
      <x:c r="F60" s="16" t="str">
        <x:v>Kraków Operations Centre</x:v>
      </x:c>
      <x:c r="G60" s="16" t="str"/>
      <x:c r="H60" s="16" t="str">
        <x:v>2026</x:v>
      </x:c>
      <x:c r="I60" s="16" t="str">
        <x:v>Active</x:v>
      </x:c>
      <x:c r="J60" s="19" t="n">
        <x:v>43715.5</x:v>
      </x:c>
      <x:c r="K60" s="16" t="str">
        <x:v>English</x:v>
      </x:c>
    </x:row>
    <x:row r="61">
      <x:c r="A61" s="16" t="str">
        <x:v>EMP-057</x:v>
      </x:c>
      <x:c r="B61" s="16" t="str">
        <x:v>Jakub Pawlak</x:v>
      </x:c>
      <x:c r="C61" s="16" t="str">
        <x:v>jakub.pawlak@krkrice.example</x:v>
      </x:c>
      <x:c r="D61" s="16" t="str">
        <x:v>Quality Control</x:v>
      </x:c>
      <x:c r="E61" s="16" t="str">
        <x:v>Lab Technician</x:v>
      </x:c>
      <x:c r="F61" s="16" t="str">
        <x:v>Kraków Operations Centre</x:v>
      </x:c>
      <x:c r="G61" s="16" t="str">
        <x:v>EMP-056</x:v>
      </x:c>
      <x:c r="H61" s="16" t="str">
        <x:v>2027</x:v>
      </x:c>
      <x:c r="I61" s="16" t="str">
        <x:v>Active</x:v>
      </x:c>
      <x:c r="J61" s="19" t="n">
        <x:v>44112.5</x:v>
      </x:c>
      <x:c r="K61" s="16" t="str">
        <x:v>English</x:v>
      </x:c>
    </x:row>
    <x:row r="62">
      <x:c r="A62" s="16" t="str">
        <x:v>EMP-058</x:v>
      </x:c>
      <x:c r="B62" s="16" t="str">
        <x:v>Mateusz Kaczmarek</x:v>
      </x:c>
      <x:c r="C62" s="16" t="str">
        <x:v>mateusz.kaczmarek@krkrice.example</x:v>
      </x:c>
      <x:c r="D62" s="16" t="str">
        <x:v>Quality Control</x:v>
      </x:c>
      <x:c r="E62" s="16" t="str">
        <x:v>Certification Specialist</x:v>
      </x:c>
      <x:c r="F62" s="16" t="str">
        <x:v>Kraków Operations Centre</x:v>
      </x:c>
      <x:c r="G62" s="16" t="str">
        <x:v>EMP-056</x:v>
      </x:c>
      <x:c r="H62" s="16" t="str">
        <x:v>2028</x:v>
      </x:c>
      <x:c r="I62" s="16" t="str">
        <x:v>Active</x:v>
      </x:c>
      <x:c r="J62" s="19" t="n">
        <x:v>44509.5</x:v>
      </x:c>
      <x:c r="K62" s="16" t="str">
        <x:v>English</x:v>
      </x:c>
    </x:row>
    <x:row r="63">
      <x:c r="A63" s="16" t="str">
        <x:v>EMP-059</x:v>
      </x:c>
      <x:c r="B63" s="16" t="str">
        <x:v>Sofia Zając</x:v>
      </x:c>
      <x:c r="C63" s="16" t="str">
        <x:v>sofia.zajac@krkrice.example</x:v>
      </x:c>
      <x:c r="D63" s="16" t="str">
        <x:v>Quality Control</x:v>
      </x:c>
      <x:c r="E63" s="16" t="str">
        <x:v>Quality Analyst</x:v>
      </x:c>
      <x:c r="F63" s="16" t="str">
        <x:v>Kraków Operations Centre</x:v>
      </x:c>
      <x:c r="G63" s="16" t="str">
        <x:v>EMP-056</x:v>
      </x:c>
      <x:c r="H63" s="16" t="str">
        <x:v>2029</x:v>
      </x:c>
      <x:c r="I63" s="16" t="str">
        <x:v>Active</x:v>
      </x:c>
      <x:c r="J63" s="19" t="n">
        <x:v>44905.5</x:v>
      </x:c>
      <x:c r="K63" s="16" t="str">
        <x:v>English</x:v>
      </x:c>
    </x:row>
    <x:row r="64">
      <x:c r="A64" s="16" t="str">
        <x:v>EMP-060</x:v>
      </x:c>
      <x:c r="B64" s="16" t="str">
        <x:v>Daniel Nowak</x:v>
      </x:c>
      <x:c r="C64" s="16" t="str">
        <x:v>daniel.nowak@krkrice.example</x:v>
      </x:c>
      <x:c r="D64" s="16" t="str">
        <x:v>Quality Control</x:v>
      </x:c>
      <x:c r="E64" s="16" t="str">
        <x:v>Lab Technician</x:v>
      </x:c>
      <x:c r="F64" s="16" t="str">
        <x:v>Kraków Operations Centre</x:v>
      </x:c>
      <x:c r="G64" s="16" t="str">
        <x:v>EMP-056</x:v>
      </x:c>
      <x:c r="H64" s="16" t="str">
        <x:v>2020</x:v>
      </x:c>
      <x:c r="I64" s="16" t="str">
        <x:v>Active</x:v>
      </x:c>
      <x:c r="J64" s="19" t="n">
        <x:v>44937.5</x:v>
      </x:c>
      <x:c r="K64" s="16" t="str">
        <x:v>English</x:v>
      </x:c>
    </x:row>
    <x:row r="65">
      <x:c r="A65" s="16" t="str">
        <x:v>EMP-061</x:v>
      </x:c>
      <x:c r="B65" s="16" t="str">
        <x:v>Liam Garcia</x:v>
      </x:c>
      <x:c r="C65" s="16" t="str">
        <x:v>liam.garcia@krkrice.example</x:v>
      </x:c>
      <x:c r="D65" s="16" t="str">
        <x:v>Quality Control</x:v>
      </x:c>
      <x:c r="E65" s="16" t="str">
        <x:v>Certification Specialist</x:v>
      </x:c>
      <x:c r="F65" s="16" t="str">
        <x:v>Kraków Operations Centre</x:v>
      </x:c>
      <x:c r="G65" s="16" t="str">
        <x:v>EMP-056</x:v>
      </x:c>
      <x:c r="H65" s="16" t="str">
        <x:v>2021</x:v>
      </x:c>
      <x:c r="I65" s="16" t="str">
        <x:v>Active</x:v>
      </x:c>
      <x:c r="J65" s="19" t="n">
        <x:v>45334.5</x:v>
      </x:c>
      <x:c r="K65" s="16" t="str">
        <x:v>English</x:v>
      </x:c>
    </x:row>
    <x:row r="66">
      <x:c r="A66" s="16" t="str">
        <x:v>EMP-062</x:v>
      </x:c>
      <x:c r="B66" s="16" t="str">
        <x:v>Noah Tanaka</x:v>
      </x:c>
      <x:c r="C66" s="16" t="str">
        <x:v>noah.tanaka@krkrice.example</x:v>
      </x:c>
      <x:c r="D66" s="16" t="str">
        <x:v>Quality Control</x:v>
      </x:c>
      <x:c r="E66" s="16" t="str">
        <x:v>Certification Specialist</x:v>
      </x:c>
      <x:c r="F66" s="16" t="str">
        <x:v>Kraków Operations Centre</x:v>
      </x:c>
      <x:c r="G66" s="16" t="str">
        <x:v>EMP-056</x:v>
      </x:c>
      <x:c r="H66" s="16" t="str">
        <x:v>2022</x:v>
      </x:c>
      <x:c r="I66" s="16" t="str">
        <x:v>Active</x:v>
      </x:c>
      <x:c r="J66" s="19" t="n">
        <x:v>45729.5</x:v>
      </x:c>
      <x:c r="K66" s="16" t="str">
        <x:v>English</x:v>
      </x:c>
    </x:row>
    <x:row r="67">
      <x:c r="A67" s="16" t="str">
        <x:v>EMP-063</x:v>
      </x:c>
      <x:c r="B67" s="16" t="str">
        <x:v>Aleksandra Lis</x:v>
      </x:c>
      <x:c r="C67" s="16" t="str">
        <x:v>aleksandra.lis@krkrice.example</x:v>
      </x:c>
      <x:c r="D67" s="16" t="str">
        <x:v>Quality Control</x:v>
      </x:c>
      <x:c r="E67" s="16" t="str">
        <x:v>Certification Specialist</x:v>
      </x:c>
      <x:c r="F67" s="16" t="str">
        <x:v>Kraków Operations Centre</x:v>
      </x:c>
      <x:c r="G67" s="16" t="str">
        <x:v>EMP-056</x:v>
      </x:c>
      <x:c r="H67" s="16" t="str">
        <x:v>2023</x:v>
      </x:c>
      <x:c r="I67" s="16" t="str">
        <x:v>Active</x:v>
      </x:c>
      <x:c r="J67" s="19" t="n">
        <x:v>42839.5</x:v>
      </x:c>
      <x:c r="K67" s="16" t="str">
        <x:v>Polish, English</x:v>
      </x:c>
    </x:row>
    <x:row r="68">
      <x:c r="A68" s="16" t="str">
        <x:v>EMP-064</x:v>
      </x:c>
      <x:c r="B68" s="16" t="str">
        <x:v>Aleksandra Alvarez</x:v>
      </x:c>
      <x:c r="C68" s="16" t="str">
        <x:v>aleksandra.alvarez@krkrice.example</x:v>
      </x:c>
      <x:c r="D68" s="16" t="str">
        <x:v>Finance</x:v>
      </x:c>
      <x:c r="E68" s="16" t="str">
        <x:v>Head of Finance</x:v>
      </x:c>
      <x:c r="F68" s="16" t="str">
        <x:v>Remote - Poland</x:v>
      </x:c>
      <x:c r="G68" s="16" t="str"/>
      <x:c r="H68" s="16" t="str">
        <x:v>2024</x:v>
      </x:c>
      <x:c r="I68" s="16" t="str">
        <x:v>Active</x:v>
      </x:c>
      <x:c r="J68" s="19" t="n">
        <x:v>43235.5</x:v>
      </x:c>
      <x:c r="K68" s="16" t="str">
        <x:v>English</x:v>
      </x:c>
    </x:row>
    <x:row r="69">
      <x:c r="A69" s="16" t="str">
        <x:v>EMP-065</x:v>
      </x:c>
      <x:c r="B69" s="16" t="str">
        <x:v>Jakub Pawlak</x:v>
      </x:c>
      <x:c r="C69" s="16" t="str">
        <x:v>jakub.pawlak@krkrice.example</x:v>
      </x:c>
      <x:c r="D69" s="16" t="str">
        <x:v>Finance</x:v>
      </x:c>
      <x:c r="E69" s="16" t="str">
        <x:v>Controller</x:v>
      </x:c>
      <x:c r="F69" s="16" t="str">
        <x:v>Kraków Headquarters</x:v>
      </x:c>
      <x:c r="G69" s="16" t="str">
        <x:v>EMP-064</x:v>
      </x:c>
      <x:c r="H69" s="16" t="str">
        <x:v>2025</x:v>
      </x:c>
      <x:c r="I69" s="16" t="str">
        <x:v>Active</x:v>
      </x:c>
      <x:c r="J69" s="19" t="n">
        <x:v>43632.5</x:v>
      </x:c>
      <x:c r="K69" s="16" t="str">
        <x:v>English</x:v>
      </x:c>
    </x:row>
    <x:row r="70">
      <x:c r="A70" s="16" t="str">
        <x:v>EMP-066</x:v>
      </x:c>
      <x:c r="B70" s="16" t="str">
        <x:v>Mateusz Kaczmarek</x:v>
      </x:c>
      <x:c r="C70" s="16" t="str">
        <x:v>mateusz.kaczmarek@krkrice.example</x:v>
      </x:c>
      <x:c r="D70" s="16" t="str">
        <x:v>Finance</x:v>
      </x:c>
      <x:c r="E70" s="16" t="str">
        <x:v>Accounts Payable Specialist</x:v>
      </x:c>
      <x:c r="F70" s="16" t="str">
        <x:v>Kraków Headquarters</x:v>
      </x:c>
      <x:c r="G70" s="16" t="str">
        <x:v>EMP-064</x:v>
      </x:c>
      <x:c r="H70" s="16" t="str">
        <x:v>2026</x:v>
      </x:c>
      <x:c r="I70" s="16" t="str">
        <x:v>Active</x:v>
      </x:c>
      <x:c r="J70" s="19" t="n">
        <x:v>44029.5</x:v>
      </x:c>
      <x:c r="K70" s="16" t="str">
        <x:v>English</x:v>
      </x:c>
    </x:row>
    <x:row r="71">
      <x:c r="A71" s="16" t="str">
        <x:v>EMP-067</x:v>
      </x:c>
      <x:c r="B71" s="16" t="str">
        <x:v>Sofia Zając</x:v>
      </x:c>
      <x:c r="C71" s="16" t="str">
        <x:v>sofia.zajac@krkrice.example</x:v>
      </x:c>
      <x:c r="D71" s="16" t="str">
        <x:v>Finance</x:v>
      </x:c>
      <x:c r="E71" s="16" t="str">
        <x:v>Accounts Payable Specialist</x:v>
      </x:c>
      <x:c r="F71" s="16" t="str">
        <x:v>Kraków Headquarters</x:v>
      </x:c>
      <x:c r="G71" s="16" t="str">
        <x:v>EMP-064</x:v>
      </x:c>
      <x:c r="H71" s="16" t="str">
        <x:v>2027</x:v>
      </x:c>
      <x:c r="I71" s="16" t="str">
        <x:v>Active</x:v>
      </x:c>
      <x:c r="J71" s="19" t="n">
        <x:v>44426.5</x:v>
      </x:c>
      <x:c r="K71" s="16" t="str">
        <x:v>English</x:v>
      </x:c>
    </x:row>
    <x:row r="72">
      <x:c r="A72" s="16" t="str">
        <x:v>EMP-068</x:v>
      </x:c>
      <x:c r="B72" s="16" t="str">
        <x:v>Daniel Nowak</x:v>
      </x:c>
      <x:c r="C72" s="16" t="str">
        <x:v>daniel.nowak@krkrice.example</x:v>
      </x:c>
      <x:c r="D72" s="16" t="str">
        <x:v>Finance</x:v>
      </x:c>
      <x:c r="E72" s="16" t="str">
        <x:v>Accounts Payable Specialist</x:v>
      </x:c>
      <x:c r="F72" s="16" t="str">
        <x:v>Kraków Headquarters</x:v>
      </x:c>
      <x:c r="G72" s="16" t="str">
        <x:v>EMP-064</x:v>
      </x:c>
      <x:c r="H72" s="16" t="str">
        <x:v>2028</x:v>
      </x:c>
      <x:c r="I72" s="16" t="str">
        <x:v>Active</x:v>
      </x:c>
      <x:c r="J72" s="19" t="n">
        <x:v>44823.5</x:v>
      </x:c>
      <x:c r="K72" s="16" t="str">
        <x:v>English</x:v>
      </x:c>
    </x:row>
    <x:row r="73">
      <x:c r="A73" s="16" t="str">
        <x:v>EMP-069</x:v>
      </x:c>
      <x:c r="B73" s="16" t="str">
        <x:v>Liam Garcia</x:v>
      </x:c>
      <x:c r="C73" s="16" t="str">
        <x:v>liam.garcia@krkrice.example</x:v>
      </x:c>
      <x:c r="D73" s="16" t="str">
        <x:v>Finance</x:v>
      </x:c>
      <x:c r="E73" s="16" t="str">
        <x:v>Accounts Payable Specialist</x:v>
      </x:c>
      <x:c r="F73" s="16" t="str">
        <x:v>Kraków Headquarters</x:v>
      </x:c>
      <x:c r="G73" s="16" t="str">
        <x:v>EMP-064</x:v>
      </x:c>
      <x:c r="H73" s="16" t="str">
        <x:v>2029</x:v>
      </x:c>
      <x:c r="I73" s="16" t="str">
        <x:v>Active</x:v>
      </x:c>
      <x:c r="J73" s="19" t="n">
        <x:v>45219.5</x:v>
      </x:c>
      <x:c r="K73" s="16" t="str">
        <x:v>English</x:v>
      </x:c>
    </x:row>
    <x:row r="74">
      <x:c r="A74" s="16" t="str">
        <x:v>EMP-070</x:v>
      </x:c>
      <x:c r="B74" s="16" t="str">
        <x:v>Noah Tanaka</x:v>
      </x:c>
      <x:c r="C74" s="16" t="str">
        <x:v>noah.tanaka@krkrice.example</x:v>
      </x:c>
      <x:c r="D74" s="16" t="str">
        <x:v>Finance</x:v>
      </x:c>
      <x:c r="E74" s="16" t="str">
        <x:v>Controller</x:v>
      </x:c>
      <x:c r="F74" s="16" t="str">
        <x:v>Kraków Headquarters</x:v>
      </x:c>
      <x:c r="G74" s="16" t="str">
        <x:v>EMP-064</x:v>
      </x:c>
      <x:c r="H74" s="16" t="str">
        <x:v>2020</x:v>
      </x:c>
      <x:c r="I74" s="16" t="str">
        <x:v>Active</x:v>
      </x:c>
      <x:c r="J74" s="19" t="n">
        <x:v>45617.5</x:v>
      </x:c>
      <x:c r="K74" s="16" t="str">
        <x:v>English</x:v>
      </x:c>
    </x:row>
    <x:row r="75">
      <x:c r="A75" s="16" t="str">
        <x:v>EMP-071</x:v>
      </x:c>
      <x:c r="B75" s="16" t="str">
        <x:v>Aleksandra Lis</x:v>
      </x:c>
      <x:c r="C75" s="16" t="str">
        <x:v>aleksandra.lis@krkrice.example</x:v>
      </x:c>
      <x:c r="D75" s="16" t="str">
        <x:v>Finance</x:v>
      </x:c>
      <x:c r="E75" s="16" t="str">
        <x:v>Controller</x:v>
      </x:c>
      <x:c r="F75" s="16" t="str">
        <x:v>Kraków Headquarters</x:v>
      </x:c>
      <x:c r="G75" s="16" t="str">
        <x:v>EMP-064</x:v>
      </x:c>
      <x:c r="H75" s="16" t="str">
        <x:v>2021</x:v>
      </x:c>
      <x:c r="I75" s="16" t="str">
        <x:v>Active</x:v>
      </x:c>
      <x:c r="J75" s="19" t="n">
        <x:v>46013.5</x:v>
      </x:c>
      <x:c r="K75" s="16" t="str">
        <x:v>English</x:v>
      </x:c>
    </x:row>
    <x:row r="76">
      <x:c r="A76" s="16" t="str">
        <x:v>EMP-072</x:v>
      </x:c>
      <x:c r="B76" s="16" t="str">
        <x:v>Jakub Chen</x:v>
      </x:c>
      <x:c r="C76" s="16" t="str">
        <x:v>jakub.chen@krkrice.example</x:v>
      </x:c>
      <x:c r="D76" s="16" t="str">
        <x:v>Finance</x:v>
      </x:c>
      <x:c r="E76" s="16" t="str">
        <x:v>Financial Analyst</x:v>
      </x:c>
      <x:c r="F76" s="16" t="str">
        <x:v>Remote - Poland</x:v>
      </x:c>
      <x:c r="G76" s="16" t="str">
        <x:v>EMP-064</x:v>
      </x:c>
      <x:c r="H76" s="16" t="str">
        <x:v>2022</x:v>
      </x:c>
      <x:c r="I76" s="16" t="str">
        <x:v>Active</x:v>
      </x:c>
      <x:c r="J76" s="19" t="n">
        <x:v>42758.5</x:v>
      </x:c>
      <x:c r="K76" s="16" t="str">
        <x:v>Polish, English</x:v>
      </x:c>
    </x:row>
    <x:row r="77">
      <x:c r="A77" s="16" t="str">
        <x:v>EMP-073</x:v>
      </x:c>
      <x:c r="B77" s="16" t="str">
        <x:v>Mateusz Sikora</x:v>
      </x:c>
      <x:c r="C77" s="16" t="str">
        <x:v>mateusz.sikora@krkrice.example</x:v>
      </x:c>
      <x:c r="D77" s="16" t="str">
        <x:v>Finance</x:v>
      </x:c>
      <x:c r="E77" s="16" t="str">
        <x:v>Accounts Payable Specialist</x:v>
      </x:c>
      <x:c r="F77" s="16" t="str">
        <x:v>Kraków Headquarters</x:v>
      </x:c>
      <x:c r="G77" s="16" t="str">
        <x:v>EMP-064</x:v>
      </x:c>
      <x:c r="H77" s="16" t="str">
        <x:v>2023</x:v>
      </x:c>
      <x:c r="I77" s="16" t="str">
        <x:v>Active</x:v>
      </x:c>
      <x:c r="J77" s="19" t="n">
        <x:v>43155.5</x:v>
      </x:c>
      <x:c r="K77" s="16" t="str">
        <x:v>English</x:v>
      </x:c>
    </x:row>
    <x:row r="78">
      <x:c r="A78" s="16" t="str">
        <x:v>EMP-074</x:v>
      </x:c>
      <x:c r="B78" s="16" t="str">
        <x:v>Marek Alvarez</x:v>
      </x:c>
      <x:c r="C78" s="16" t="str">
        <x:v>marek.alvarez@krkrice.example</x:v>
      </x:c>
      <x:c r="D78" s="16" t="str">
        <x:v>Procurement</x:v>
      </x:c>
      <x:c r="E78" s="16" t="str">
        <x:v>Head of Procurement</x:v>
      </x:c>
      <x:c r="F78" s="16" t="str">
        <x:v>Kraków Headquarters</x:v>
      </x:c>
      <x:c r="G78" s="16" t="str"/>
      <x:c r="H78" s="16" t="str">
        <x:v>2024</x:v>
      </x:c>
      <x:c r="I78" s="16" t="str">
        <x:v>Active</x:v>
      </x:c>
      <x:c r="J78" s="19" t="n">
        <x:v>43549.5</x:v>
      </x:c>
      <x:c r="K78" s="16" t="str">
        <x:v>English</x:v>
      </x:c>
    </x:row>
    <x:row r="79">
      <x:c r="A79" s="16" t="str">
        <x:v>EMP-075</x:v>
      </x:c>
      <x:c r="B79" s="16" t="str">
        <x:v>Piotr Pawlak</x:v>
      </x:c>
      <x:c r="C79" s="16" t="str">
        <x:v>piotr.pawlak@krkrice.example</x:v>
      </x:c>
      <x:c r="D79" s="16" t="str">
        <x:v>Procurement</x:v>
      </x:c>
      <x:c r="E79" s="16" t="str">
        <x:v>Buyer</x:v>
      </x:c>
      <x:c r="F79" s="16" t="str">
        <x:v>Kraków Headquarters</x:v>
      </x:c>
      <x:c r="G79" s="16" t="str">
        <x:v>EMP-074</x:v>
      </x:c>
      <x:c r="H79" s="16" t="str">
        <x:v>2025</x:v>
      </x:c>
      <x:c r="I79" s="16" t="str">
        <x:v>Active</x:v>
      </x:c>
      <x:c r="J79" s="19" t="n">
        <x:v>43922.5</x:v>
      </x:c>
      <x:c r="K79" s="16" t="str">
        <x:v>English</x:v>
      </x:c>
    </x:row>
    <x:row r="80">
      <x:c r="A80" s="16" t="str">
        <x:v>EMP-076</x:v>
      </x:c>
      <x:c r="B80" s="16" t="str">
        <x:v>Aisha Kaczmarek</x:v>
      </x:c>
      <x:c r="C80" s="16" t="str">
        <x:v>aisha.kaczmarek@krkrice.example</x:v>
      </x:c>
      <x:c r="D80" s="16" t="str">
        <x:v>Procurement</x:v>
      </x:c>
      <x:c r="E80" s="16" t="str">
        <x:v>Supplier Manager</x:v>
      </x:c>
      <x:c r="F80" s="16" t="str">
        <x:v>Kraków Headquarters</x:v>
      </x:c>
      <x:c r="G80" s="16" t="str">
        <x:v>EMP-074</x:v>
      </x:c>
      <x:c r="H80" s="16" t="str">
        <x:v>2026</x:v>
      </x:c>
      <x:c r="I80" s="16" t="str">
        <x:v>Active</x:v>
      </x:c>
      <x:c r="J80" s="19" t="n">
        <x:v>44318.5</x:v>
      </x:c>
      <x:c r="K80" s="16" t="str">
        <x:v>English</x:v>
      </x:c>
    </x:row>
    <x:row r="81">
      <x:c r="A81" s="16" t="str">
        <x:v>EMP-077</x:v>
      </x:c>
      <x:c r="B81" s="16" t="str">
        <x:v>Karolina Zając</x:v>
      </x:c>
      <x:c r="C81" s="16" t="str">
        <x:v>karolina.zajac@krkrice.example</x:v>
      </x:c>
      <x:c r="D81" s="16" t="str">
        <x:v>Procurement</x:v>
      </x:c>
      <x:c r="E81" s="16" t="str">
        <x:v>Supplier Manager</x:v>
      </x:c>
      <x:c r="F81" s="16" t="str">
        <x:v>Kraków Headquarters</x:v>
      </x:c>
      <x:c r="G81" s="16" t="str">
        <x:v>EMP-074</x:v>
      </x:c>
      <x:c r="H81" s="16" t="str">
        <x:v>2027</x:v>
      </x:c>
      <x:c r="I81" s="16" t="str">
        <x:v>Active</x:v>
      </x:c>
      <x:c r="J81" s="19" t="n">
        <x:v>44715.5</x:v>
      </x:c>
      <x:c r="K81" s="16" t="str">
        <x:v>English</x:v>
      </x:c>
    </x:row>
    <x:row r="82">
      <x:c r="A82" s="16" t="str">
        <x:v>EMP-078</x:v>
      </x:c>
      <x:c r="B82" s="16" t="str">
        <x:v>Michał Nowak</x:v>
      </x:c>
      <x:c r="C82" s="16" t="str">
        <x:v>michal.nowak@krkrice.example</x:v>
      </x:c>
      <x:c r="D82" s="16" t="str">
        <x:v>Procurement</x:v>
      </x:c>
      <x:c r="E82" s="16" t="str">
        <x:v>Procurement Specialist</x:v>
      </x:c>
      <x:c r="F82" s="16" t="str">
        <x:v>Kraków Headquarters</x:v>
      </x:c>
      <x:c r="G82" s="16" t="str">
        <x:v>EMP-074</x:v>
      </x:c>
      <x:c r="H82" s="16" t="str">
        <x:v>2028</x:v>
      </x:c>
      <x:c r="I82" s="16" t="str">
        <x:v>Active</x:v>
      </x:c>
      <x:c r="J82" s="19" t="n">
        <x:v>45111.5</x:v>
      </x:c>
      <x:c r="K82" s="16" t="str">
        <x:v>English</x:v>
      </x:c>
    </x:row>
    <x:row r="83">
      <x:c r="A83" s="16" t="str">
        <x:v>EMP-079</x:v>
      </x:c>
      <x:c r="B83" s="16" t="str">
        <x:v>Yuki Garcia</x:v>
      </x:c>
      <x:c r="C83" s="16" t="str">
        <x:v>yuki.garcia@krkrice.example</x:v>
      </x:c>
      <x:c r="D83" s="16" t="str">
        <x:v>Procurement</x:v>
      </x:c>
      <x:c r="E83" s="16" t="str">
        <x:v>Procurement Specialist</x:v>
      </x:c>
      <x:c r="F83" s="16" t="str">
        <x:v>Kraków Headquarters</x:v>
      </x:c>
      <x:c r="G83" s="16" t="str">
        <x:v>EMP-074</x:v>
      </x:c>
      <x:c r="H83" s="16" t="str">
        <x:v>2029</x:v>
      </x:c>
      <x:c r="I83" s="16" t="str">
        <x:v>Active</x:v>
      </x:c>
      <x:c r="J83" s="19" t="n">
        <x:v>45509.5</x:v>
      </x:c>
      <x:c r="K83" s="16" t="str">
        <x:v>English</x:v>
      </x:c>
    </x:row>
    <x:row r="84">
      <x:c r="A84" s="16" t="str">
        <x:v>EMP-080</x:v>
      </x:c>
      <x:c r="B84" s="16" t="str">
        <x:v>Fatima Tanaka</x:v>
      </x:c>
      <x:c r="C84" s="16" t="str">
        <x:v>fatima.tanaka@krkrice.example</x:v>
      </x:c>
      <x:c r="D84" s="16" t="str">
        <x:v>Procurement</x:v>
      </x:c>
      <x:c r="E84" s="16" t="str">
        <x:v>Buyer</x:v>
      </x:c>
      <x:c r="F84" s="16" t="str">
        <x:v>Remote - Poland</x:v>
      </x:c>
      <x:c r="G84" s="16" t="str">
        <x:v>EMP-074</x:v>
      </x:c>
      <x:c r="H84" s="16" t="str">
        <x:v>2020</x:v>
      </x:c>
      <x:c r="I84" s="16" t="str">
        <x:v>Active</x:v>
      </x:c>
      <x:c r="J84" s="19" t="n">
        <x:v>45906.5</x:v>
      </x:c>
      <x:c r="K84" s="16" t="str">
        <x:v>English</x:v>
      </x:c>
    </x:row>
    <x:row r="85">
      <x:c r="A85" s="16" t="str">
        <x:v>EMP-081</x:v>
      </x:c>
      <x:c r="B85" s="16" t="str">
        <x:v>Hanna Mazur</x:v>
      </x:c>
      <x:c r="C85" s="16" t="str">
        <x:v>hanna.mazur@krkrice.example</x:v>
      </x:c>
      <x:c r="D85" s="16" t="str">
        <x:v>Operations</x:v>
      </x:c>
      <x:c r="E85" s="16" t="str">
        <x:v>Head of Operations</x:v>
      </x:c>
      <x:c r="F85" s="16" t="str">
        <x:v>Kraków Operations Centre</x:v>
      </x:c>
      <x:c r="G85" s="16" t="str"/>
      <x:c r="H85" s="16" t="str">
        <x:v>2021</x:v>
      </x:c>
      <x:c r="I85" s="16" t="str">
        <x:v>Active</x:v>
      </x:c>
      <x:c r="J85" s="19" t="n">
        <x:v>43015.5</x:v>
      </x:c>
      <x:c r="K85" s="16" t="str">
        <x:v>Polish, English</x:v>
      </x:c>
    </x:row>
    <x:row r="86">
      <x:c r="A86" s="16" t="str">
        <x:v>EMP-082</x:v>
      </x:c>
      <x:c r="B86" s="16" t="str">
        <x:v>Marta Dąbrowski</x:v>
      </x:c>
      <x:c r="C86" s="16" t="str">
        <x:v>marta.dabrowski@krkrice.example</x:v>
      </x:c>
      <x:c r="D86" s="16" t="str">
        <x:v>Operations</x:v>
      </x:c>
      <x:c r="E86" s="16" t="str">
        <x:v>Operations Planner</x:v>
      </x:c>
      <x:c r="F86" s="16" t="str">
        <x:v>Kraków Operations Centre</x:v>
      </x:c>
      <x:c r="G86" s="16" t="str">
        <x:v>EMP-081</x:v>
      </x:c>
      <x:c r="H86" s="16" t="str">
        <x:v>2022</x:v>
      </x:c>
      <x:c r="I86" s="16" t="str">
        <x:v>Active</x:v>
      </x:c>
      <x:c r="J86" s="19" t="n">
        <x:v>43412.5</x:v>
      </x:c>
      <x:c r="K86" s="16" t="str">
        <x:v>English</x:v>
      </x:c>
    </x:row>
    <x:row r="87">
      <x:c r="A87" s="16" t="str">
        <x:v>EMP-083</x:v>
      </x:c>
      <x:c r="B87" s="16" t="str">
        <x:v>Sara Szymański</x:v>
      </x:c>
      <x:c r="C87" s="16" t="str">
        <x:v>sara.szymanski@krkrice.example</x:v>
      </x:c>
      <x:c r="D87" s="16" t="str">
        <x:v>Operations</x:v>
      </x:c>
      <x:c r="E87" s="16" t="str">
        <x:v>Operations Planner</x:v>
      </x:c>
      <x:c r="F87" s="16" t="str">
        <x:v>Kraków Operations Centre</x:v>
      </x:c>
      <x:c r="G87" s="16" t="str">
        <x:v>EMP-081</x:v>
      </x:c>
      <x:c r="H87" s="16" t="str">
        <x:v>2023</x:v>
      </x:c>
      <x:c r="I87" s="16" t="str">
        <x:v>Active</x:v>
      </x:c>
      <x:c r="J87" s="19" t="n">
        <x:v>43808.5</x:v>
      </x:c>
      <x:c r="K87" s="16" t="str">
        <x:v>English</x:v>
      </x:c>
    </x:row>
    <x:row r="88">
      <x:c r="A88" s="16" t="str">
        <x:v>EMP-084</x:v>
      </x:c>
      <x:c r="B88" s="16" t="str">
        <x:v>Carlos Lewandowski</x:v>
      </x:c>
      <x:c r="C88" s="16" t="str">
        <x:v>carlos.lewandowski@krkrice.example</x:v>
      </x:c>
      <x:c r="D88" s="16" t="str">
        <x:v>Operations</x:v>
      </x:c>
      <x:c r="E88" s="16" t="str">
        <x:v>Process Analyst</x:v>
      </x:c>
      <x:c r="F88" s="16" t="str">
        <x:v>Kraków Operations Centre</x:v>
      </x:c>
      <x:c r="G88" s="16" t="str">
        <x:v>EMP-081</x:v>
      </x:c>
      <x:c r="H88" s="16" t="str">
        <x:v>2024</x:v>
      </x:c>
      <x:c r="I88" s="16" t="str">
        <x:v>Active</x:v>
      </x:c>
      <x:c r="J88" s="19" t="n">
        <x:v>43840.5</x:v>
      </x:c>
      <x:c r="K88" s="16" t="str">
        <x:v>English</x:v>
      </x:c>
    </x:row>
    <x:row r="89">
      <x:c r="A89" s="16" t="str">
        <x:v>EMP-085</x:v>
      </x:c>
      <x:c r="B89" s="16" t="str">
        <x:v>Katarzyna Bąk</x:v>
      </x:c>
      <x:c r="C89" s="16" t="str">
        <x:v>katarzyna.bak@krkrice.example</x:v>
      </x:c>
      <x:c r="D89" s="16" t="str">
        <x:v>Operations</x:v>
      </x:c>
      <x:c r="E89" s="16" t="str">
        <x:v>Production Coordinator</x:v>
      </x:c>
      <x:c r="F89" s="16" t="str">
        <x:v>Kraków Operations Centre</x:v>
      </x:c>
      <x:c r="G89" s="16" t="str">
        <x:v>EMP-081</x:v>
      </x:c>
      <x:c r="H89" s="16" t="str">
        <x:v>2025</x:v>
      </x:c>
      <x:c r="I89" s="16" t="str">
        <x:v>Active</x:v>
      </x:c>
      <x:c r="J89" s="19" t="n">
        <x:v>44238.5</x:v>
      </x:c>
      <x:c r="K89" s="16" t="str">
        <x:v>English</x:v>
      </x:c>
    </x:row>
    <x:row r="90">
      <x:c r="A90" s="16" t="str">
        <x:v>EMP-086</x:v>
      </x:c>
      <x:c r="B90" s="16" t="str">
        <x:v>Nadia Rahman</x:v>
      </x:c>
      <x:c r="C90" s="16" t="str">
        <x:v>nadia.rahman@krkrice.example</x:v>
      </x:c>
      <x:c r="D90" s="16" t="str">
        <x:v>Operations</x:v>
      </x:c>
      <x:c r="E90" s="16" t="str">
        <x:v>Production Coordinator</x:v>
      </x:c>
      <x:c r="F90" s="16" t="str">
        <x:v>Kraków Operations Centre</x:v>
      </x:c>
      <x:c r="G90" s="16" t="str">
        <x:v>EMP-081</x:v>
      </x:c>
      <x:c r="H90" s="16" t="str">
        <x:v>2026</x:v>
      </x:c>
      <x:c r="I90" s="16" t="str">
        <x:v>Active</x:v>
      </x:c>
      <x:c r="J90" s="19" t="n">
        <x:v>44632.5</x:v>
      </x:c>
      <x:c r="K90" s="16" t="str">
        <x:v>English</x:v>
      </x:c>
    </x:row>
    <x:row r="91">
      <x:c r="A91" s="16" t="str">
        <x:v>EMP-087</x:v>
      </x:c>
      <x:c r="B91" s="16" t="str">
        <x:v>Zofia Kowalski</x:v>
      </x:c>
      <x:c r="C91" s="16" t="str">
        <x:v>zofia.kowalski@krkrice.example</x:v>
      </x:c>
      <x:c r="D91" s="16" t="str">
        <x:v>Operations</x:v>
      </x:c>
      <x:c r="E91" s="16" t="str">
        <x:v>Process Analyst</x:v>
      </x:c>
      <x:c r="F91" s="16" t="str">
        <x:v>Kraków Operations Centre</x:v>
      </x:c>
      <x:c r="G91" s="16" t="str">
        <x:v>EMP-081</x:v>
      </x:c>
      <x:c r="H91" s="16" t="str">
        <x:v>2027</x:v>
      </x:c>
      <x:c r="I91" s="16" t="str">
        <x:v>Active</x:v>
      </x:c>
      <x:c r="J91" s="19" t="n">
        <x:v>45029.5</x:v>
      </x:c>
      <x:c r="K91" s="16" t="str">
        <x:v>English</x:v>
      </x:c>
    </x:row>
    <x:row r="92">
      <x:c r="A92" s="16" t="str">
        <x:v>EMP-088</x:v>
      </x:c>
      <x:c r="B92" s="16" t="str">
        <x:v>Hanna Zieliński</x:v>
      </x:c>
      <x:c r="C92" s="16" t="str">
        <x:v>hanna.zielinski@krkrice.example</x:v>
      </x:c>
      <x:c r="D92" s="16" t="str">
        <x:v>Operations</x:v>
      </x:c>
      <x:c r="E92" s="16" t="str">
        <x:v>Operations Planner</x:v>
      </x:c>
      <x:c r="F92" s="16" t="str">
        <x:v>Kraków Operations Centre</x:v>
      </x:c>
      <x:c r="G92" s="16" t="str">
        <x:v>EMP-081</x:v>
      </x:c>
      <x:c r="H92" s="16" t="str">
        <x:v>2028</x:v>
      </x:c>
      <x:c r="I92" s="16" t="str">
        <x:v>Active</x:v>
      </x:c>
      <x:c r="J92" s="19" t="n">
        <x:v>45426.5</x:v>
      </x:c>
      <x:c r="K92" s="16" t="str">
        <x:v>English</x:v>
      </x:c>
    </x:row>
    <x:row r="93">
      <x:c r="A93" s="16" t="str">
        <x:v>EMP-089</x:v>
      </x:c>
      <x:c r="B93" s="16" t="str">
        <x:v>Marta O'Connor</x:v>
      </x:c>
      <x:c r="C93" s="16" t="str">
        <x:v>marta.oconnor@krkrice.example</x:v>
      </x:c>
      <x:c r="D93" s="16" t="str">
        <x:v>Operations</x:v>
      </x:c>
      <x:c r="E93" s="16" t="str">
        <x:v>Process Analyst</x:v>
      </x:c>
      <x:c r="F93" s="16" t="str">
        <x:v>Kraków Operations Centre</x:v>
      </x:c>
      <x:c r="G93" s="16" t="str">
        <x:v>EMP-081</x:v>
      </x:c>
      <x:c r="H93" s="16" t="str">
        <x:v>2029</x:v>
      </x:c>
      <x:c r="I93" s="16" t="str">
        <x:v>Active</x:v>
      </x:c>
      <x:c r="J93" s="19" t="n">
        <x:v>45823.5</x:v>
      </x:c>
      <x:c r="K93" s="16" t="str">
        <x:v>English</x:v>
      </x:c>
    </x:row>
    <x:row r="94">
      <x:c r="A94" s="16" t="str">
        <x:v>EMP-090</x:v>
      </x:c>
      <x:c r="B94" s="16" t="str">
        <x:v>Sara Jankowski</x:v>
      </x:c>
      <x:c r="C94" s="16" t="str">
        <x:v>sara.jankowski@krkrice.example</x:v>
      </x:c>
      <x:c r="D94" s="16" t="str">
        <x:v>Operations</x:v>
      </x:c>
      <x:c r="E94" s="16" t="str">
        <x:v>Process Analyst</x:v>
      </x:c>
      <x:c r="F94" s="16" t="str">
        <x:v>Kraków Operations Centre</x:v>
      </x:c>
      <x:c r="G94" s="16" t="str">
        <x:v>EMP-081</x:v>
      </x:c>
      <x:c r="H94" s="16" t="str">
        <x:v>2020</x:v>
      </x:c>
      <x:c r="I94" s="16" t="str">
        <x:v>Active</x:v>
      </x:c>
      <x:c r="J94" s="19" t="n">
        <x:v>42932.5</x:v>
      </x:c>
      <x:c r="K94" s="16" t="str">
        <x:v>Polish, English</x:v>
      </x:c>
    </x:row>
    <x:row r="95">
      <x:c r="A95" s="16" t="str">
        <x:v>EMP-091</x:v>
      </x:c>
      <x:c r="B95" s="16" t="str">
        <x:v>Ola Mazur</x:v>
      </x:c>
      <x:c r="C95" s="16" t="str">
        <x:v>ola.mazur@krkrice.example</x:v>
      </x:c>
      <x:c r="D95" s="16" t="str">
        <x:v>HR &amp; Administration</x:v>
      </x:c>
      <x:c r="E95" s="16" t="str">
        <x:v>Head of HR &amp; Administration</x:v>
      </x:c>
      <x:c r="F95" s="16" t="str">
        <x:v>Kraków Headquarters</x:v>
      </x:c>
      <x:c r="G95" s="16" t="str"/>
      <x:c r="H95" s="16" t="str">
        <x:v>2021</x:v>
      </x:c>
      <x:c r="I95" s="16" t="str">
        <x:v>Active</x:v>
      </x:c>
      <x:c r="J95" s="19" t="n">
        <x:v>43329.5</x:v>
      </x:c>
      <x:c r="K95" s="16" t="str">
        <x:v>English</x:v>
      </x:c>
    </x:row>
    <x:row r="96">
      <x:c r="A96" s="16" t="str">
        <x:v>EMP-092</x:v>
      </x:c>
      <x:c r="B96" s="16" t="str">
        <x:v>Anna Dąbrowski</x:v>
      </x:c>
      <x:c r="C96" s="16" t="str">
        <x:v>anna.dabrowski@krkrice.example</x:v>
      </x:c>
      <x:c r="D96" s="16" t="str">
        <x:v>HR &amp; Administration</x:v>
      </x:c>
      <x:c r="E96" s="16" t="str">
        <x:v>Office Administrator</x:v>
      </x:c>
      <x:c r="F96" s="16" t="str">
        <x:v>Kraków Headquarters</x:v>
      </x:c>
      <x:c r="G96" s="16" t="str">
        <x:v>EMP-091</x:v>
      </x:c>
      <x:c r="H96" s="16" t="str">
        <x:v>2022</x:v>
      </x:c>
      <x:c r="I96" s="16" t="str">
        <x:v>Active</x:v>
      </x:c>
      <x:c r="J96" s="19" t="n">
        <x:v>43726.5</x:v>
      </x:c>
      <x:c r="K96" s="16" t="str">
        <x:v>English</x:v>
      </x:c>
    </x:row>
    <x:row r="97">
      <x:c r="A97" s="16" t="str">
        <x:v>EMP-093</x:v>
      </x:c>
      <x:c r="B97" s="16" t="str">
        <x:v>Jan Szymański</x:v>
      </x:c>
      <x:c r="C97" s="16" t="str">
        <x:v>jan.szymanski@krkrice.example</x:v>
      </x:c>
      <x:c r="D97" s="16" t="str">
        <x:v>HR &amp; Administration</x:v>
      </x:c>
      <x:c r="E97" s="16" t="str">
        <x:v>People Operations Coordinator</x:v>
      </x:c>
      <x:c r="F97" s="16" t="str">
        <x:v>Kraków Headquarters</x:v>
      </x:c>
      <x:c r="G97" s="16" t="str">
        <x:v>EMP-091</x:v>
      </x:c>
      <x:c r="H97" s="16" t="str">
        <x:v>2023</x:v>
      </x:c>
      <x:c r="I97" s="16" t="str">
        <x:v>Active</x:v>
      </x:c>
      <x:c r="J97" s="19" t="n">
        <x:v>44123.5</x:v>
      </x:c>
      <x:c r="K97" s="16" t="str">
        <x:v>English</x:v>
      </x:c>
    </x:row>
    <x:row r="98">
      <x:c r="A98" s="16" t="str">
        <x:v>EMP-094</x:v>
      </x:c>
      <x:c r="B98" s="16" t="str">
        <x:v>Maya Lewandowski</x:v>
      </x:c>
      <x:c r="C98" s="16" t="str">
        <x:v>maya.lewandowski@krkrice.example</x:v>
      </x:c>
      <x:c r="D98" s="16" t="str">
        <x:v>HR &amp; Administration</x:v>
      </x:c>
      <x:c r="E98" s="16" t="str">
        <x:v>HR Specialist</x:v>
      </x:c>
      <x:c r="F98" s="16" t="str">
        <x:v>Kraków Headquarters</x:v>
      </x:c>
      <x:c r="G98" s="16" t="str">
        <x:v>EMP-091</x:v>
      </x:c>
      <x:c r="H98" s="16" t="str">
        <x:v>2024</x:v>
      </x:c>
      <x:c r="I98" s="16" t="str">
        <x:v>Active</x:v>
      </x:c>
      <x:c r="J98" s="19" t="n">
        <x:v>44520.5</x:v>
      </x:c>
      <x:c r="K98" s="16" t="str">
        <x:v>English</x:v>
      </x:c>
    </x:row>
    <x:row r="99">
      <x:c r="A99" s="16" t="str">
        <x:v>EMP-095</x:v>
      </x:c>
      <x:c r="B99" s="16" t="str">
        <x:v>Tomasz Bąk</x:v>
      </x:c>
      <x:c r="C99" s="16" t="str">
        <x:v>tomasz.bak@krkrice.example</x:v>
      </x:c>
      <x:c r="D99" s="16" t="str">
        <x:v>HR &amp; Administration</x:v>
      </x:c>
      <x:c r="E99" s="16" t="str">
        <x:v>People Operations Coordinator</x:v>
      </x:c>
      <x:c r="F99" s="16" t="str">
        <x:v>Kraków Headquarters</x:v>
      </x:c>
      <x:c r="G99" s="16" t="str">
        <x:v>EMP-091</x:v>
      </x:c>
      <x:c r="H99" s="16" t="str">
        <x:v>2025</x:v>
      </x:c>
      <x:c r="I99" s="16" t="str">
        <x:v>Active</x:v>
      </x:c>
      <x:c r="J99" s="19" t="n">
        <x:v>44916.5</x:v>
      </x:c>
      <x:c r="K99" s="16" t="str">
        <x:v>English</x:v>
      </x:c>
    </x:row>
    <x:row r="100">
      <x:c r="A100" s="16" t="str">
        <x:v>EMP-096</x:v>
      </x:c>
      <x:c r="B100" s="16" t="str">
        <x:v>Aleksandra Alvarez</x:v>
      </x:c>
      <x:c r="C100" s="16" t="str">
        <x:v>aleksandra.alvarez@krkrice.example</x:v>
      </x:c>
      <x:c r="D100" s="16" t="str">
        <x:v>IT</x:v>
      </x:c>
      <x:c r="E100" s="16" t="str">
        <x:v>Head of IT</x:v>
      </x:c>
      <x:c r="F100" s="16" t="str">
        <x:v>Remote - Poland</x:v>
      </x:c>
      <x:c r="G100" s="16" t="str"/>
      <x:c r="H100" s="16" t="str">
        <x:v>2026</x:v>
      </x:c>
      <x:c r="I100" s="16" t="str">
        <x:v>Active</x:v>
      </x:c>
      <x:c r="J100" s="19" t="n">
        <x:v>44948.5</x:v>
      </x:c>
      <x:c r="K100" s="16" t="str">
        <x:v>English</x:v>
      </x:c>
    </x:row>
    <x:row r="101">
      <x:c r="A101" s="16" t="str">
        <x:v>EMP-097</x:v>
      </x:c>
      <x:c r="B101" s="16" t="str">
        <x:v>Jakub Pawlak</x:v>
      </x:c>
      <x:c r="C101" s="16" t="str">
        <x:v>jakub.pawlak@krkrice.example</x:v>
      </x:c>
      <x:c r="D101" s="16" t="str">
        <x:v>IT</x:v>
      </x:c>
      <x:c r="E101" s="16" t="str">
        <x:v>Systems Administrator</x:v>
      </x:c>
      <x:c r="F101" s="16" t="str">
        <x:v>Kraków Headquarters</x:v>
      </x:c>
      <x:c r="G101" s="16" t="str">
        <x:v>EMP-096</x:v>
      </x:c>
      <x:c r="H101" s="16" t="str">
        <x:v>2027</x:v>
      </x:c>
      <x:c r="I101" s="16" t="str">
        <x:v>Active</x:v>
      </x:c>
      <x:c r="J101" s="19" t="n">
        <x:v>45345.5</x:v>
      </x:c>
      <x:c r="K101" s="16" t="str">
        <x:v>English</x:v>
      </x:c>
    </x:row>
    <x:row r="102">
      <x:c r="A102" s="16" t="str">
        <x:v>EMP-098</x:v>
      </x:c>
      <x:c r="B102" s="16" t="str">
        <x:v>Mateusz Kaczmarek</x:v>
      </x:c>
      <x:c r="C102" s="16" t="str">
        <x:v>mateusz.kaczmarek@krkrice.example</x:v>
      </x:c>
      <x:c r="D102" s="16" t="str">
        <x:v>IT</x:v>
      </x:c>
      <x:c r="E102" s="16" t="str">
        <x:v>Security Analyst</x:v>
      </x:c>
      <x:c r="F102" s="16" t="str">
        <x:v>Kraków Headquarters</x:v>
      </x:c>
      <x:c r="G102" s="16" t="str">
        <x:v>EMP-096</x:v>
      </x:c>
      <x:c r="H102" s="16" t="str">
        <x:v>2028</x:v>
      </x:c>
      <x:c r="I102" s="16" t="str">
        <x:v>Active</x:v>
      </x:c>
      <x:c r="J102" s="19" t="n">
        <x:v>45740.5</x:v>
      </x:c>
      <x:c r="K102" s="16" t="str">
        <x:v>English</x:v>
      </x:c>
    </x:row>
    <x:row r="103">
      <x:c r="A103" s="16" t="str">
        <x:v>EMP-099</x:v>
      </x:c>
      <x:c r="B103" s="16" t="str">
        <x:v>Sofia Zając</x:v>
      </x:c>
      <x:c r="C103" s="16" t="str">
        <x:v>sofia.zajac@krkrice.example</x:v>
      </x:c>
      <x:c r="D103" s="16" t="str">
        <x:v>IT</x:v>
      </x:c>
      <x:c r="E103" s="16" t="str">
        <x:v>Security Analyst</x:v>
      </x:c>
      <x:c r="F103" s="16" t="str">
        <x:v>Kraków Headquarters</x:v>
      </x:c>
      <x:c r="G103" s="16" t="str">
        <x:v>EMP-096</x:v>
      </x:c>
      <x:c r="H103" s="16" t="str">
        <x:v>2029</x:v>
      </x:c>
      <x:c r="I103" s="16" t="str">
        <x:v>Active</x:v>
      </x:c>
      <x:c r="J103" s="19" t="n">
        <x:v>42850.5</x:v>
      </x:c>
      <x:c r="K103" s="16" t="str">
        <x:v>Polish, English</x:v>
      </x:c>
    </x:row>
    <x:row r="104">
      <x:c r="A104" s="17" t="str">
        <x:v>EMP-100</x:v>
      </x:c>
      <x:c r="B104" s="17" t="str">
        <x:v>Daniel Nowak</x:v>
      </x:c>
      <x:c r="C104" s="17" t="str">
        <x:v>daniel.nowak@krkrice.example</x:v>
      </x:c>
      <x:c r="D104" s="17" t="str">
        <x:v>IT</x:v>
      </x:c>
      <x:c r="E104" s="17" t="str">
        <x:v>Security Analyst</x:v>
      </x:c>
      <x:c r="F104" s="17" t="str">
        <x:v>Kraków Headquarters</x:v>
      </x:c>
      <x:c r="G104" s="17" t="str">
        <x:v>EMP-096</x:v>
      </x:c>
      <x:c r="H104" s="17" t="str">
        <x:v>2020</x:v>
      </x:c>
      <x:c r="I104" s="17" t="str">
        <x:v>Active</x:v>
      </x:c>
      <x:c r="J104" s="20" t="n">
        <x:v>43221.5</x:v>
      </x:c>
      <x:c r="K104" s="17" t="str">
        <x:v>English</x:v>
      </x:c>
    </x:row>
  </x:sheetData>
  <x:mergeCells>
    <x:mergeCell ref="A1:K1"/>
    <x:mergeCell ref="A2:K2"/>
  </x:mergeCells>
  <x:pageMargins left="0.7" right="0.7" top="0.75" bottom="0.75" header="0.3" footer="0.3"/>
  <x:tableParts count="1">
    <x:tablePart xmlns:r="http://schemas.openxmlformats.org/officeDocument/2006/relationships" r:id="R470e238dc6164ce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12.220000267028809" hidden="0" customWidth="1"/>
    <x:col min="3" max="3" width="18.780000686645508" hidden="0" customWidth="1"/>
    <x:col min="4" max="4" width="11" hidden="0" customWidth="1"/>
    <x:col min="5" max="5" width="11" hidden="0" customWidth="1"/>
    <x:col min="6" max="6" width="18.110000610351562" hidden="0" customWidth="1"/>
    <x:col min="7" max="7" width="11" hidden="0" customWidth="1"/>
    <x:col min="8" max="8" width="11" hidden="0" customWidth="1"/>
    <x:col min="9" max="9" width="11" hidden="0" customWidth="1"/>
    <x:col min="10" max="10" width="15.779999732971191" hidden="0" customWidth="1"/>
  </x:cols>
  <x:sheetData>
    <x:row r="1" ht="30" customHeight="1">
      <x:c r="A1" s="3" t="str">
        <x:v>KRkRice Synthetic IT Assets</x:v>
      </x:c>
      <x:c r="B1" s="3"/>
      <x:c r="C1" s="3"/>
      <x:c r="D1" s="3"/>
      <x:c r="E1" s="3"/>
      <x:c r="F1" s="3"/>
      <x:c r="G1" s="3"/>
      <x:c r="H1" s="3"/>
      <x:c r="I1" s="3"/>
      <x:c r="J1" s="3"/>
    </x:row>
    <x:row r="2" ht="24" customHeight="1">
      <x:c r="A2" s="6" t="str">
        <x:v>80 invented devices linked to employees or shared operational locations.</x:v>
      </x:c>
      <x:c r="B2" s="6"/>
      <x:c r="C2" s="6"/>
      <x:c r="D2" s="6"/>
      <x:c r="E2" s="6"/>
      <x:c r="F2" s="6"/>
      <x:c r="G2" s="6"/>
      <x:c r="H2" s="6"/>
      <x:c r="I2" s="6"/>
      <x:c r="J2" s="6"/>
    </x:row>
    <x:row r="4" ht="24" customHeight="1">
      <x:c r="A4" s="10" t="str">
        <x:v>asset_id</x:v>
      </x:c>
      <x:c r="B4" s="10" t="str">
        <x:v>asset_type</x:v>
      </x:c>
      <x:c r="C4" s="10" t="str">
        <x:v>model</x:v>
      </x:c>
      <x:c r="D4" s="10" t="str">
        <x:v>serial_number</x:v>
      </x:c>
      <x:c r="E4" s="10" t="str">
        <x:v>assigned_employee_id</x:v>
      </x:c>
      <x:c r="F4" s="10" t="str">
        <x:v>location</x:v>
      </x:c>
      <x:c r="G4" s="10" t="str">
        <x:v>status</x:v>
      </x:c>
      <x:c r="H4" s="10" t="str">
        <x:v>purchase_date</x:v>
      </x:c>
      <x:c r="I4" s="10" t="str">
        <x:v>warranty_end</x:v>
      </x:c>
      <x:c r="J4" s="10" t="str">
        <x:v>operating_system</x:v>
      </x:c>
    </x:row>
    <x:row r="5">
      <x:c r="A5" s="15" t="str">
        <x:v>AST-001</x:v>
      </x:c>
      <x:c r="B5" s="15" t="str">
        <x:v>Monitor</x:v>
      </x:c>
      <x:c r="C5" s="15" t="str">
        <x:v>Dell P2422H</x:v>
      </x:c>
      <x:c r="D5" s="15" t="str">
        <x:v>KRK260073</x:v>
      </x:c>
      <x:c r="E5" s="15" t="str">
        <x:v>EMP-014</x:v>
      </x:c>
      <x:c r="F5" s="15" t="str">
        <x:v>Kraków Headquarters</x:v>
      </x:c>
      <x:c r="G5" s="15" t="str">
        <x:v>In service</x:v>
      </x:c>
      <x:c r="H5" s="18" t="n">
        <x:v>44594.5</x:v>
      </x:c>
      <x:c r="I5" s="18" t="n">
        <x:v>45690.5</x:v>
      </x:c>
      <x:c r="J5" s="15" t="str">
        <x:v>Not applicable</x:v>
      </x:c>
    </x:row>
    <x:row r="6">
      <x:c r="A6" s="16" t="str">
        <x:v>AST-002</x:v>
      </x:c>
      <x:c r="B6" s="16" t="str">
        <x:v>Barcode Scanner</x:v>
      </x:c>
      <x:c r="C6" s="16" t="str">
        <x:v>Zebra TC52</x:v>
      </x:c>
      <x:c r="D6" s="16" t="str">
        <x:v>KRK260146</x:v>
      </x:c>
      <x:c r="E6" s="16" t="str">
        <x:v>EMP-035</x:v>
      </x:c>
      <x:c r="F6" s="16" t="str">
        <x:v>Kraków Operations Centre</x:v>
      </x:c>
      <x:c r="G6" s="16" t="str">
        <x:v>In service</x:v>
      </x:c>
      <x:c r="H6" s="19" t="n">
        <x:v>44988.5</x:v>
      </x:c>
      <x:c r="I6" s="19" t="n">
        <x:v>46084.5</x:v>
      </x:c>
      <x:c r="J6" s="16" t="str">
        <x:v>Android 13</x:v>
      </x:c>
    </x:row>
    <x:row r="7">
      <x:c r="A7" s="16" t="str">
        <x:v>AST-003</x:v>
      </x:c>
      <x:c r="B7" s="16" t="str">
        <x:v>Windows Laptop</x:v>
      </x:c>
      <x:c r="C7" s="16" t="str">
        <x:v>HP EliteBook 840</x:v>
      </x:c>
      <x:c r="D7" s="16" t="str">
        <x:v>KRK260219</x:v>
      </x:c>
      <x:c r="E7" s="16" t="str">
        <x:v>EMP-040</x:v>
      </x:c>
      <x:c r="F7" s="16" t="str">
        <x:v>Kraków Operations Centre</x:v>
      </x:c>
      <x:c r="G7" s="16" t="str">
        <x:v>In service</x:v>
      </x:c>
      <x:c r="H7" s="19" t="n">
        <x:v>45386.5</x:v>
      </x:c>
      <x:c r="I7" s="19" t="n">
        <x:v>46481.5</x:v>
      </x:c>
      <x:c r="J7" s="16" t="str">
        <x:v>Windows 11 Enterprise</x:v>
      </x:c>
    </x:row>
    <x:row r="8">
      <x:c r="A8" s="16" t="str">
        <x:v>AST-004</x:v>
      </x:c>
      <x:c r="B8" s="16" t="str">
        <x:v>Docking Station</x:v>
      </x:c>
      <x:c r="C8" s="16" t="str">
        <x:v>Lenovo USB-C Dock Gen 2</x:v>
      </x:c>
      <x:c r="D8" s="16" t="str">
        <x:v>KRK260292</x:v>
      </x:c>
      <x:c r="E8" s="16" t="str">
        <x:v>EMP-053</x:v>
      </x:c>
      <x:c r="F8" s="16" t="str">
        <x:v>Kraków Operations Centre</x:v>
      </x:c>
      <x:c r="G8" s="16" t="str">
        <x:v>In service</x:v>
      </x:c>
      <x:c r="H8" s="19" t="n">
        <x:v>45782.5</x:v>
      </x:c>
      <x:c r="I8" s="19" t="n">
        <x:v>45417.5</x:v>
      </x:c>
      <x:c r="J8" s="16" t="str">
        <x:v>Not applicable</x:v>
      </x:c>
    </x:row>
    <x:row r="9">
      <x:c r="A9" s="16" t="str">
        <x:v>AST-005</x:v>
      </x:c>
      <x:c r="B9" s="16" t="str">
        <x:v>Label Printer</x:v>
      </x:c>
      <x:c r="C9" s="16" t="str">
        <x:v>Zebra ZD421</x:v>
      </x:c>
      <x:c r="D9" s="16" t="str">
        <x:v>KRK260365</x:v>
      </x:c>
      <x:c r="E9" s="16" t="str">
        <x:v>EMP-038</x:v>
      </x:c>
      <x:c r="F9" s="16" t="str">
        <x:v>Kraków Operations Centre</x:v>
      </x:c>
      <x:c r="G9" s="16" t="str">
        <x:v>In service</x:v>
      </x:c>
      <x:c r="H9" s="19" t="n">
        <x:v>44353.5</x:v>
      </x:c>
      <x:c r="I9" s="19" t="n">
        <x:v>45814.5</x:v>
      </x:c>
      <x:c r="J9" s="16" t="str">
        <x:v>Firmware managed</x:v>
      </x:c>
    </x:row>
    <x:row r="10">
      <x:c r="A10" s="16" t="str">
        <x:v>AST-006</x:v>
      </x:c>
      <x:c r="B10" s="16" t="str">
        <x:v>Warehouse Tablet</x:v>
      </x:c>
      <x:c r="C10" s="16" t="str">
        <x:v>Samsung Tab Active4 Pro</x:v>
      </x:c>
      <x:c r="D10" s="16" t="str">
        <x:v>KRK260438</x:v>
      </x:c>
      <x:c r="E10" s="16" t="str">
        <x:v>EMP-039</x:v>
      </x:c>
      <x:c r="F10" s="16" t="str">
        <x:v>Kraków Operations Centre</x:v>
      </x:c>
      <x:c r="G10" s="16" t="str">
        <x:v>In service</x:v>
      </x:c>
      <x:c r="H10" s="19" t="n">
        <x:v>44749.5</x:v>
      </x:c>
      <x:c r="I10" s="19" t="n">
        <x:v>46210.5</x:v>
      </x:c>
      <x:c r="J10" s="16" t="str">
        <x:v>Android 13</x:v>
      </x:c>
    </x:row>
    <x:row r="11">
      <x:c r="A11" s="16" t="str">
        <x:v>AST-007</x:v>
      </x:c>
      <x:c r="B11" s="16" t="str">
        <x:v>Windows Laptop</x:v>
      </x:c>
      <x:c r="C11" s="16" t="str">
        <x:v>Lenovo ThinkPad T14</x:v>
      </x:c>
      <x:c r="D11" s="16" t="str">
        <x:v>KRK260511</x:v>
      </x:c>
      <x:c r="E11" s="16" t="str">
        <x:v>EMP-092</x:v>
      </x:c>
      <x:c r="F11" s="16" t="str">
        <x:v>Kraków Headquarters</x:v>
      </x:c>
      <x:c r="G11" s="16" t="str">
        <x:v>In service</x:v>
      </x:c>
      <x:c r="H11" s="19" t="n">
        <x:v>45146.5</x:v>
      </x:c>
      <x:c r="I11" s="19" t="n">
        <x:v>46607.5</x:v>
      </x:c>
      <x:c r="J11" s="16" t="str">
        <x:v>Windows 11 Enterprise</x:v>
      </x:c>
    </x:row>
    <x:row r="12">
      <x:c r="A12" s="16" t="str">
        <x:v>AST-008</x:v>
      </x:c>
      <x:c r="B12" s="16" t="str">
        <x:v>Monitor</x:v>
      </x:c>
      <x:c r="C12" s="16" t="str">
        <x:v>LG 27BN65Q</x:v>
      </x:c>
      <x:c r="D12" s="16" t="str">
        <x:v>KRK260584</x:v>
      </x:c>
      <x:c r="E12" s="16" t="str">
        <x:v>EMP-005</x:v>
      </x:c>
      <x:c r="F12" s="16" t="str">
        <x:v>Kraków Headquarters</x:v>
      </x:c>
      <x:c r="G12" s="16" t="str">
        <x:v>In service</x:v>
      </x:c>
      <x:c r="H12" s="19" t="n">
        <x:v>45544.5</x:v>
      </x:c>
      <x:c r="I12" s="19" t="n">
        <x:v>45544.5</x:v>
      </x:c>
      <x:c r="J12" s="16" t="str">
        <x:v>Not applicable</x:v>
      </x:c>
    </x:row>
    <x:row r="13">
      <x:c r="A13" s="16" t="str">
        <x:v>AST-009</x:v>
      </x:c>
      <x:c r="B13" s="16" t="str">
        <x:v>Barcode Scanner</x:v>
      </x:c>
      <x:c r="C13" s="16" t="str">
        <x:v>Zebra TC52</x:v>
      </x:c>
      <x:c r="D13" s="16" t="str">
        <x:v>KRK260657</x:v>
      </x:c>
      <x:c r="E13" s="16" t="str">
        <x:v>Shared</x:v>
      </x:c>
      <x:c r="F13" s="16" t="str">
        <x:v>Kraków Operations Centre</x:v>
      </x:c>
      <x:c r="G13" s="16" t="str">
        <x:v>In service</x:v>
      </x:c>
      <x:c r="H13" s="19" t="n">
        <x:v>45940.5</x:v>
      </x:c>
      <x:c r="I13" s="19" t="n">
        <x:v>45940.5</x:v>
      </x:c>
      <x:c r="J13" s="16" t="str">
        <x:v>Android 13</x:v>
      </x:c>
    </x:row>
    <x:row r="14">
      <x:c r="A14" s="16" t="str">
        <x:v>AST-010</x:v>
      </x:c>
      <x:c r="B14" s="16" t="str">
        <x:v>Windows Laptop</x:v>
      </x:c>
      <x:c r="C14" s="16" t="str">
        <x:v>Lenovo ThinkPad T14</x:v>
      </x:c>
      <x:c r="D14" s="16" t="str">
        <x:v>KRK260730</x:v>
      </x:c>
      <x:c r="E14" s="16" t="str">
        <x:v>EMP-031</x:v>
      </x:c>
      <x:c r="F14" s="16" t="str">
        <x:v>Kraków Headquarters</x:v>
      </x:c>
      <x:c r="G14" s="16" t="str">
        <x:v>In service</x:v>
      </x:c>
      <x:c r="H14" s="19" t="n">
        <x:v>44511.5</x:v>
      </x:c>
      <x:c r="I14" s="19" t="n">
        <x:v>46337.5</x:v>
      </x:c>
      <x:c r="J14" s="16" t="str">
        <x:v>Windows 11 Enterprise</x:v>
      </x:c>
    </x:row>
    <x:row r="15">
      <x:c r="A15" s="16" t="str">
        <x:v>AST-011</x:v>
      </x:c>
      <x:c r="B15" s="16" t="str">
        <x:v>Docking Station</x:v>
      </x:c>
      <x:c r="C15" s="16" t="str">
        <x:v>Lenovo USB-C Dock Gen 2</x:v>
      </x:c>
      <x:c r="D15" s="16" t="str">
        <x:v>KRK260803</x:v>
      </x:c>
      <x:c r="E15" s="16" t="str">
        <x:v>Shared</x:v>
      </x:c>
      <x:c r="F15" s="16" t="str">
        <x:v>Kraków Operations Centre</x:v>
      </x:c>
      <x:c r="G15" s="16" t="str">
        <x:v>In service</x:v>
      </x:c>
      <x:c r="H15" s="19" t="n">
        <x:v>44907.5</x:v>
      </x:c>
      <x:c r="I15" s="19" t="n">
        <x:v>46733.5</x:v>
      </x:c>
      <x:c r="J15" s="16" t="str">
        <x:v>Not applicable</x:v>
      </x:c>
    </x:row>
    <x:row r="16">
      <x:c r="A16" s="16" t="str">
        <x:v>AST-012</x:v>
      </x:c>
      <x:c r="B16" s="16" t="str">
        <x:v>Label Printer</x:v>
      </x:c>
      <x:c r="C16" s="16" t="str">
        <x:v>Zebra ZD421</x:v>
      </x:c>
      <x:c r="D16" s="16" t="str">
        <x:v>KRK260876</x:v>
      </x:c>
      <x:c r="E16" s="16" t="str">
        <x:v>EMP-045</x:v>
      </x:c>
      <x:c r="F16" s="16" t="str">
        <x:v>Kraków Operations Centre</x:v>
      </x:c>
      <x:c r="G16" s="16" t="str">
        <x:v>In service</x:v>
      </x:c>
      <x:c r="H16" s="19" t="n">
        <x:v>44939.5</x:v>
      </x:c>
      <x:c r="I16" s="19" t="n">
        <x:v>45304.5</x:v>
      </x:c>
      <x:c r="J16" s="16" t="str">
        <x:v>Firmware managed</x:v>
      </x:c>
    </x:row>
    <x:row r="17">
      <x:c r="A17" s="16" t="str">
        <x:v>AST-013</x:v>
      </x:c>
      <x:c r="B17" s="16" t="str">
        <x:v>Warehouse Tablet</x:v>
      </x:c>
      <x:c r="C17" s="16" t="str">
        <x:v>Zebra ET45</x:v>
      </x:c>
      <x:c r="D17" s="16" t="str">
        <x:v>KRK260949</x:v>
      </x:c>
      <x:c r="E17" s="16" t="str">
        <x:v>EMP-046</x:v>
      </x:c>
      <x:c r="F17" s="16" t="str">
        <x:v>Kraków Operations Centre</x:v>
      </x:c>
      <x:c r="G17" s="16" t="str">
        <x:v>In service</x:v>
      </x:c>
      <x:c r="H17" s="19" t="n">
        <x:v>45336.5</x:v>
      </x:c>
      <x:c r="I17" s="19" t="n">
        <x:v>45702.5</x:v>
      </x:c>
      <x:c r="J17" s="16" t="str">
        <x:v>Android 13</x:v>
      </x:c>
    </x:row>
    <x:row r="18">
      <x:c r="A18" s="16" t="str">
        <x:v>AST-014</x:v>
      </x:c>
      <x:c r="B18" s="16" t="str">
        <x:v>Windows Laptop</x:v>
      </x:c>
      <x:c r="C18" s="16" t="str">
        <x:v>HP EliteBook 840</x:v>
      </x:c>
      <x:c r="D18" s="16" t="str">
        <x:v>KRK261022</x:v>
      </x:c>
      <x:c r="E18" s="16" t="str">
        <x:v>EMP-083</x:v>
      </x:c>
      <x:c r="F18" s="16" t="str">
        <x:v>Kraków Operations Centre</x:v>
      </x:c>
      <x:c r="G18" s="16" t="str">
        <x:v>In service</x:v>
      </x:c>
      <x:c r="H18" s="19" t="n">
        <x:v>45731.5</x:v>
      </x:c>
      <x:c r="I18" s="19" t="n">
        <x:v>46096.5</x:v>
      </x:c>
      <x:c r="J18" s="16" t="str">
        <x:v>Windows 11 Enterprise</x:v>
      </x:c>
    </x:row>
    <x:row r="19">
      <x:c r="A19" s="16" t="str">
        <x:v>AST-015</x:v>
      </x:c>
      <x:c r="B19" s="16" t="str">
        <x:v>Monitor</x:v>
      </x:c>
      <x:c r="C19" s="16" t="str">
        <x:v>Dell P2422H</x:v>
      </x:c>
      <x:c r="D19" s="16" t="str">
        <x:v>KRK261095</x:v>
      </x:c>
      <x:c r="E19" s="16" t="str">
        <x:v>EMP-096</x:v>
      </x:c>
      <x:c r="F19" s="16" t="str">
        <x:v>Remote - Poland</x:v>
      </x:c>
      <x:c r="G19" s="16" t="str">
        <x:v>In service</x:v>
      </x:c>
      <x:c r="H19" s="19" t="n">
        <x:v>44302.5</x:v>
      </x:c>
      <x:c r="I19" s="19" t="n">
        <x:v>46493.5</x:v>
      </x:c>
      <x:c r="J19" s="16" t="str">
        <x:v>Not applicable</x:v>
      </x:c>
    </x:row>
    <x:row r="20">
      <x:c r="A20" s="16" t="str">
        <x:v>AST-016</x:v>
      </x:c>
      <x:c r="B20" s="16" t="str">
        <x:v>Barcode Scanner</x:v>
      </x:c>
      <x:c r="C20" s="16" t="str">
        <x:v>Honeywell CT45</x:v>
      </x:c>
      <x:c r="D20" s="16" t="str">
        <x:v>KRK261168</x:v>
      </x:c>
      <x:c r="E20" s="16" t="str">
        <x:v>EMP-049</x:v>
      </x:c>
      <x:c r="F20" s="16" t="str">
        <x:v>Kraków Operations Centre</x:v>
      </x:c>
      <x:c r="G20" s="16" t="str">
        <x:v>In service</x:v>
      </x:c>
      <x:c r="H20" s="19" t="n">
        <x:v>44698.5</x:v>
      </x:c>
      <x:c r="I20" s="19" t="n">
        <x:v>45429.5</x:v>
      </x:c>
      <x:c r="J20" s="16" t="str">
        <x:v>Android 13</x:v>
      </x:c>
    </x:row>
    <x:row r="21">
      <x:c r="A21" s="16" t="str">
        <x:v>AST-017</x:v>
      </x:c>
      <x:c r="B21" s="16" t="str">
        <x:v>Windows Laptop</x:v>
      </x:c>
      <x:c r="C21" s="16" t="str">
        <x:v>HP EliteBook 840</x:v>
      </x:c>
      <x:c r="D21" s="16" t="str">
        <x:v>KRK261241</x:v>
      </x:c>
      <x:c r="E21" s="16" t="str">
        <x:v>EMP-022</x:v>
      </x:c>
      <x:c r="F21" s="16" t="str">
        <x:v>Kraków Headquarters</x:v>
      </x:c>
      <x:c r="G21" s="16" t="str">
        <x:v>In service</x:v>
      </x:c>
      <x:c r="H21" s="19" t="n">
        <x:v>45095.5</x:v>
      </x:c>
      <x:c r="I21" s="19" t="n">
        <x:v>45826.5</x:v>
      </x:c>
      <x:c r="J21" s="16" t="str">
        <x:v>Windows 11 Enterprise</x:v>
      </x:c>
    </x:row>
    <x:row r="22">
      <x:c r="A22" s="16" t="str">
        <x:v>AST-018</x:v>
      </x:c>
      <x:c r="B22" s="16" t="str">
        <x:v>Docking Station</x:v>
      </x:c>
      <x:c r="C22" s="16" t="str">
        <x:v>Dell WD19S</x:v>
      </x:c>
      <x:c r="D22" s="16" t="str">
        <x:v>KRK261314</x:v>
      </x:c>
      <x:c r="E22" s="16" t="str">
        <x:v>EMP-035</x:v>
      </x:c>
      <x:c r="F22" s="16" t="str">
        <x:v>Kraków Operations Centre</x:v>
      </x:c>
      <x:c r="G22" s="16" t="str">
        <x:v>In service</x:v>
      </x:c>
      <x:c r="H22" s="19" t="n">
        <x:v>45492.5</x:v>
      </x:c>
      <x:c r="I22" s="19" t="n">
        <x:v>46222.5</x:v>
      </x:c>
      <x:c r="J22" s="16" t="str">
        <x:v>Not applicable</x:v>
      </x:c>
    </x:row>
    <x:row r="23">
      <x:c r="A23" s="16" t="str">
        <x:v>AST-019</x:v>
      </x:c>
      <x:c r="B23" s="16" t="str">
        <x:v>Label Printer</x:v>
      </x:c>
      <x:c r="C23" s="16" t="str">
        <x:v>Zebra ZT411</x:v>
      </x:c>
      <x:c r="D23" s="16" t="str">
        <x:v>KRK261387</x:v>
      </x:c>
      <x:c r="E23" s="16" t="str">
        <x:v>EMP-052</x:v>
      </x:c>
      <x:c r="F23" s="16" t="str">
        <x:v>Kraków Operations Centre</x:v>
      </x:c>
      <x:c r="G23" s="16" t="str">
        <x:v>In service</x:v>
      </x:c>
      <x:c r="H23" s="19" t="n">
        <x:v>45889.5</x:v>
      </x:c>
      <x:c r="I23" s="19" t="n">
        <x:v>46619.5</x:v>
      </x:c>
      <x:c r="J23" s="16" t="str">
        <x:v>Firmware managed</x:v>
      </x:c>
    </x:row>
    <x:row r="24">
      <x:c r="A24" s="16" t="str">
        <x:v>AST-020</x:v>
      </x:c>
      <x:c r="B24" s="16" t="str">
        <x:v>Warehouse Tablet</x:v>
      </x:c>
      <x:c r="C24" s="16" t="str">
        <x:v>Zebra ET45</x:v>
      </x:c>
      <x:c r="D24" s="16" t="str">
        <x:v>KRK261460</x:v>
      </x:c>
      <x:c r="E24" s="16" t="str">
        <x:v>EMP-053</x:v>
      </x:c>
      <x:c r="F24" s="16" t="str">
        <x:v>Kraków Operations Centre</x:v>
      </x:c>
      <x:c r="G24" s="16" t="str">
        <x:v>In service</x:v>
      </x:c>
      <x:c r="H24" s="19" t="n">
        <x:v>44460.5</x:v>
      </x:c>
      <x:c r="I24" s="19" t="n">
        <x:v>45556.5</x:v>
      </x:c>
      <x:c r="J24" s="16" t="str">
        <x:v>Android 13</x:v>
      </x:c>
    </x:row>
    <x:row r="25">
      <x:c r="A25" s="16" t="str">
        <x:v>AST-021</x:v>
      </x:c>
      <x:c r="B25" s="16" t="str">
        <x:v>Windows Laptop</x:v>
      </x:c>
      <x:c r="C25" s="16" t="str">
        <x:v>Dell Latitude 5450</x:v>
      </x:c>
      <x:c r="D25" s="16" t="str">
        <x:v>KRK261533</x:v>
      </x:c>
      <x:c r="E25" s="16" t="str">
        <x:v>EMP-074</x:v>
      </x:c>
      <x:c r="F25" s="16" t="str">
        <x:v>Kraków Headquarters</x:v>
      </x:c>
      <x:c r="G25" s="16" t="str">
        <x:v>In service</x:v>
      </x:c>
      <x:c r="H25" s="19" t="n">
        <x:v>44856.5</x:v>
      </x:c>
      <x:c r="I25" s="19" t="n">
        <x:v>45952.5</x:v>
      </x:c>
      <x:c r="J25" s="16" t="str">
        <x:v>Windows 11 Enterprise</x:v>
      </x:c>
    </x:row>
    <x:row r="26">
      <x:c r="A26" s="16" t="str">
        <x:v>AST-022</x:v>
      </x:c>
      <x:c r="B26" s="16" t="str">
        <x:v>Monitor</x:v>
      </x:c>
      <x:c r="C26" s="16" t="str">
        <x:v>LG 27BN65Q</x:v>
      </x:c>
      <x:c r="D26" s="16" t="str">
        <x:v>KRK261606</x:v>
      </x:c>
      <x:c r="E26" s="16" t="str">
        <x:v>Shared</x:v>
      </x:c>
      <x:c r="F26" s="16" t="str">
        <x:v>Kraków Operations Centre</x:v>
      </x:c>
      <x:c r="G26" s="16" t="str">
        <x:v>In service</x:v>
      </x:c>
      <x:c r="H26" s="19" t="n">
        <x:v>45253.5</x:v>
      </x:c>
      <x:c r="I26" s="19" t="n">
        <x:v>46349.5</x:v>
      </x:c>
      <x:c r="J26" s="16" t="str">
        <x:v>Not applicable</x:v>
      </x:c>
    </x:row>
    <x:row r="27">
      <x:c r="A27" s="16" t="str">
        <x:v>AST-023</x:v>
      </x:c>
      <x:c r="B27" s="16" t="str">
        <x:v>Barcode Scanner</x:v>
      </x:c>
      <x:c r="C27" s="16" t="str">
        <x:v>Honeywell CT45</x:v>
      </x:c>
      <x:c r="D27" s="16" t="str">
        <x:v>KRK261679</x:v>
      </x:c>
      <x:c r="E27" s="16" t="str">
        <x:v>EMP-033</x:v>
      </x:c>
      <x:c r="F27" s="16" t="str">
        <x:v>Kraków Operations Centre</x:v>
      </x:c>
      <x:c r="G27" s="16" t="str">
        <x:v>In service</x:v>
      </x:c>
      <x:c r="H27" s="19" t="n">
        <x:v>45650.5</x:v>
      </x:c>
      <x:c r="I27" s="19" t="n">
        <x:v>46745.5</x:v>
      </x:c>
      <x:c r="J27" s="16" t="str">
        <x:v>Android 13</x:v>
      </x:c>
    </x:row>
    <x:row r="28">
      <x:c r="A28" s="16" t="str">
        <x:v>AST-024</x:v>
      </x:c>
      <x:c r="B28" s="16" t="str">
        <x:v>Windows Laptop</x:v>
      </x:c>
      <x:c r="C28" s="16" t="str">
        <x:v>Dell Latitude 5450</x:v>
      </x:c>
      <x:c r="D28" s="16" t="str">
        <x:v>KRK261752</x:v>
      </x:c>
      <x:c r="E28" s="16" t="str">
        <x:v>EMP-013</x:v>
      </x:c>
      <x:c r="F28" s="16" t="str">
        <x:v>Kraków Headquarters</x:v>
      </x:c>
      <x:c r="G28" s="16" t="str">
        <x:v>In service</x:v>
      </x:c>
      <x:c r="H28" s="19" t="n">
        <x:v>45658.5</x:v>
      </x:c>
      <x:c r="I28" s="19" t="n">
        <x:v>45292.5</x:v>
      </x:c>
      <x:c r="J28" s="16" t="str">
        <x:v>Windows 11 Enterprise</x:v>
      </x:c>
    </x:row>
    <x:row r="29">
      <x:c r="A29" s="16" t="str">
        <x:v>AST-025</x:v>
      </x:c>
      <x:c r="B29" s="16" t="str">
        <x:v>Docking Station</x:v>
      </x:c>
      <x:c r="C29" s="16" t="str">
        <x:v>Lenovo USB-C Dock Gen 2</x:v>
      </x:c>
      <x:c r="D29" s="16" t="str">
        <x:v>KRK261825</x:v>
      </x:c>
      <x:c r="E29" s="16" t="str">
        <x:v>EMP-026</x:v>
      </x:c>
      <x:c r="F29" s="16" t="str">
        <x:v>Kraków Headquarters</x:v>
      </x:c>
      <x:c r="G29" s="16" t="str">
        <x:v>In service</x:v>
      </x:c>
      <x:c r="H29" s="19" t="n">
        <x:v>44229.5</x:v>
      </x:c>
      <x:c r="I29" s="19" t="n">
        <x:v>45690.5</x:v>
      </x:c>
      <x:c r="J29" s="16" t="str">
        <x:v>Not applicable</x:v>
      </x:c>
    </x:row>
    <x:row r="30">
      <x:c r="A30" s="16" t="str">
        <x:v>AST-026</x:v>
      </x:c>
      <x:c r="B30" s="16" t="str">
        <x:v>Label Printer</x:v>
      </x:c>
      <x:c r="C30" s="16" t="str">
        <x:v>Zebra ZT411</x:v>
      </x:c>
      <x:c r="D30" s="16" t="str">
        <x:v>KRK261898</x:v>
      </x:c>
      <x:c r="E30" s="16" t="str">
        <x:v>EMP-036</x:v>
      </x:c>
      <x:c r="F30" s="16" t="str">
        <x:v>Kraków Operations Centre</x:v>
      </x:c>
      <x:c r="G30" s="16" t="str">
        <x:v>In service</x:v>
      </x:c>
      <x:c r="H30" s="19" t="n">
        <x:v>44623.5</x:v>
      </x:c>
      <x:c r="I30" s="19" t="n">
        <x:v>46084.5</x:v>
      </x:c>
      <x:c r="J30" s="16" t="str">
        <x:v>Firmware managed</x:v>
      </x:c>
    </x:row>
    <x:row r="31">
      <x:c r="A31" s="16" t="str">
        <x:v>AST-027</x:v>
      </x:c>
      <x:c r="B31" s="16" t="str">
        <x:v>Warehouse Tablet</x:v>
      </x:c>
      <x:c r="C31" s="16" t="str">
        <x:v>Samsung Tab Active4 Pro</x:v>
      </x:c>
      <x:c r="D31" s="16" t="str">
        <x:v>KRK261971</x:v>
      </x:c>
      <x:c r="E31" s="16" t="str">
        <x:v>Shared</x:v>
      </x:c>
      <x:c r="F31" s="16" t="str">
        <x:v>Kraków Operations Centre</x:v>
      </x:c>
      <x:c r="G31" s="16" t="str">
        <x:v>In service</x:v>
      </x:c>
      <x:c r="H31" s="19" t="n">
        <x:v>45020.5</x:v>
      </x:c>
      <x:c r="I31" s="19" t="n">
        <x:v>46481.5</x:v>
      </x:c>
      <x:c r="J31" s="16" t="str">
        <x:v>Android 13</x:v>
      </x:c>
    </x:row>
    <x:row r="32">
      <x:c r="A32" s="16" t="str">
        <x:v>AST-028</x:v>
      </x:c>
      <x:c r="B32" s="16" t="str">
        <x:v>Windows Laptop</x:v>
      </x:c>
      <x:c r="C32" s="16" t="str">
        <x:v>Dell Latitude 5450</x:v>
      </x:c>
      <x:c r="D32" s="16" t="str">
        <x:v>KRK262044</x:v>
      </x:c>
      <x:c r="E32" s="16" t="str">
        <x:v>EMP-065</x:v>
      </x:c>
      <x:c r="F32" s="16" t="str">
        <x:v>Kraków Headquarters</x:v>
      </x:c>
      <x:c r="G32" s="16" t="str">
        <x:v>In service</x:v>
      </x:c>
      <x:c r="H32" s="19" t="n">
        <x:v>45417.5</x:v>
      </x:c>
      <x:c r="I32" s="19" t="n">
        <x:v>45417.5</x:v>
      </x:c>
      <x:c r="J32" s="16" t="str">
        <x:v>Windows 11 Enterprise</x:v>
      </x:c>
    </x:row>
    <x:row r="33">
      <x:c r="A33" s="16" t="str">
        <x:v>AST-029</x:v>
      </x:c>
      <x:c r="B33" s="16" t="str">
        <x:v>Monitor</x:v>
      </x:c>
      <x:c r="C33" s="16" t="str">
        <x:v>Dell P2422H</x:v>
      </x:c>
      <x:c r="D33" s="16" t="str">
        <x:v>KRK262117</x:v>
      </x:c>
      <x:c r="E33" s="16" t="str">
        <x:v>EMP-078</x:v>
      </x:c>
      <x:c r="F33" s="16" t="str">
        <x:v>Kraków Headquarters</x:v>
      </x:c>
      <x:c r="G33" s="16" t="str">
        <x:v>In service</x:v>
      </x:c>
      <x:c r="H33" s="19" t="n">
        <x:v>45814.5</x:v>
      </x:c>
      <x:c r="I33" s="19" t="n">
        <x:v>45814.5</x:v>
      </x:c>
      <x:c r="J33" s="16" t="str">
        <x:v>Not applicable</x:v>
      </x:c>
    </x:row>
    <x:row r="34">
      <x:c r="A34" s="16" t="str">
        <x:v>AST-030</x:v>
      </x:c>
      <x:c r="B34" s="16" t="str">
        <x:v>Barcode Scanner</x:v>
      </x:c>
      <x:c r="C34" s="16" t="str">
        <x:v>Zebra TC52</x:v>
      </x:c>
      <x:c r="D34" s="16" t="str">
        <x:v>KRK262190</x:v>
      </x:c>
      <x:c r="E34" s="16" t="str">
        <x:v>EMP-040</x:v>
      </x:c>
      <x:c r="F34" s="16" t="str">
        <x:v>Kraków Operations Centre</x:v>
      </x:c>
      <x:c r="G34" s="16" t="str">
        <x:v>In service</x:v>
      </x:c>
      <x:c r="H34" s="19" t="n">
        <x:v>44384.5</x:v>
      </x:c>
      <x:c r="I34" s="19" t="n">
        <x:v>46210.5</x:v>
      </x:c>
      <x:c r="J34" s="16" t="str">
        <x:v>Android 13</x:v>
      </x:c>
    </x:row>
    <x:row r="35">
      <x:c r="A35" s="16" t="str">
        <x:v>AST-031</x:v>
      </x:c>
      <x:c r="B35" s="16" t="str">
        <x:v>Windows Laptop</x:v>
      </x:c>
      <x:c r="C35" s="16" t="str">
        <x:v>Lenovo ThinkPad T14</x:v>
      </x:c>
      <x:c r="D35" s="16" t="str">
        <x:v>KRK262263</x:v>
      </x:c>
      <x:c r="E35" s="16" t="str">
        <x:v>EMP-004</x:v>
      </x:c>
      <x:c r="F35" s="16" t="str">
        <x:v>Kraków Headquarters</x:v>
      </x:c>
      <x:c r="G35" s="16" t="str">
        <x:v>In service</x:v>
      </x:c>
      <x:c r="H35" s="19" t="n">
        <x:v>44781.5</x:v>
      </x:c>
      <x:c r="I35" s="19" t="n">
        <x:v>46607.5</x:v>
      </x:c>
      <x:c r="J35" s="16" t="str">
        <x:v>Windows 11 Enterprise</x:v>
      </x:c>
    </x:row>
    <x:row r="36">
      <x:c r="A36" s="16" t="str">
        <x:v>AST-032</x:v>
      </x:c>
      <x:c r="B36" s="16" t="str">
        <x:v>Docking Station</x:v>
      </x:c>
      <x:c r="C36" s="16" t="str">
        <x:v>Dell WD19S</x:v>
      </x:c>
      <x:c r="D36" s="16" t="str">
        <x:v>KRK262336</x:v>
      </x:c>
      <x:c r="E36" s="16" t="str">
        <x:v>EMP-017</x:v>
      </x:c>
      <x:c r="F36" s="16" t="str">
        <x:v>Kraków Headquarters</x:v>
      </x:c>
      <x:c r="G36" s="16" t="str">
        <x:v>In service</x:v>
      </x:c>
      <x:c r="H36" s="19" t="n">
        <x:v>45178.5</x:v>
      </x:c>
      <x:c r="I36" s="19" t="n">
        <x:v>45544.5</x:v>
      </x:c>
      <x:c r="J36" s="16" t="str">
        <x:v>Not applicable</x:v>
      </x:c>
    </x:row>
    <x:row r="37">
      <x:c r="A37" s="16" t="str">
        <x:v>AST-033</x:v>
      </x:c>
      <x:c r="B37" s="16" t="str">
        <x:v>Label Printer</x:v>
      </x:c>
      <x:c r="C37" s="16" t="str">
        <x:v>Zebra ZD421</x:v>
      </x:c>
      <x:c r="D37" s="16" t="str">
        <x:v>KRK262409</x:v>
      </x:c>
      <x:c r="E37" s="16" t="str">
        <x:v>EMP-043</x:v>
      </x:c>
      <x:c r="F37" s="16" t="str">
        <x:v>Kraków Operations Centre</x:v>
      </x:c>
      <x:c r="G37" s="16" t="str">
        <x:v>In service</x:v>
      </x:c>
      <x:c r="H37" s="19" t="n">
        <x:v>45575.5</x:v>
      </x:c>
      <x:c r="I37" s="19" t="n">
        <x:v>45940.5</x:v>
      </x:c>
      <x:c r="J37" s="16" t="str">
        <x:v>Firmware managed</x:v>
      </x:c>
    </x:row>
    <x:row r="38">
      <x:c r="A38" s="16" t="str">
        <x:v>AST-034</x:v>
      </x:c>
      <x:c r="B38" s="16" t="str">
        <x:v>Warehouse Tablet</x:v>
      </x:c>
      <x:c r="C38" s="16" t="str">
        <x:v>Samsung Tab Active4 Pro</x:v>
      </x:c>
      <x:c r="D38" s="16" t="str">
        <x:v>KRK262482</x:v>
      </x:c>
      <x:c r="E38" s="16" t="str">
        <x:v>EMP-044</x:v>
      </x:c>
      <x:c r="F38" s="16" t="str">
        <x:v>Kraków Operations Centre</x:v>
      </x:c>
      <x:c r="G38" s="16" t="str">
        <x:v>Repair</x:v>
      </x:c>
      <x:c r="H38" s="19" t="n">
        <x:v>45972.5</x:v>
      </x:c>
      <x:c r="I38" s="19" t="n">
        <x:v>46337.5</x:v>
      </x:c>
      <x:c r="J38" s="16" t="str">
        <x:v>Android 13</x:v>
      </x:c>
    </x:row>
    <x:row r="39">
      <x:c r="A39" s="16" t="str">
        <x:v>AST-035</x:v>
      </x:c>
      <x:c r="B39" s="16" t="str">
        <x:v>Windows Laptop</x:v>
      </x:c>
      <x:c r="C39" s="16" t="str">
        <x:v>Lenovo ThinkPad T14</x:v>
      </x:c>
      <x:c r="D39" s="16" t="str">
        <x:v>KRK262555</x:v>
      </x:c>
      <x:c r="E39" s="16" t="str">
        <x:v>EMP-056</x:v>
      </x:c>
      <x:c r="F39" s="16" t="str">
        <x:v>Kraków Operations Centre</x:v>
      </x:c>
      <x:c r="G39" s="16" t="str">
        <x:v>In service</x:v>
      </x:c>
      <x:c r="H39" s="19" t="n">
        <x:v>44542.5</x:v>
      </x:c>
      <x:c r="I39" s="19" t="n">
        <x:v>46733.5</x:v>
      </x:c>
      <x:c r="J39" s="16" t="str">
        <x:v>Windows 11 Enterprise</x:v>
      </x:c>
    </x:row>
    <x:row r="40">
      <x:c r="A40" s="16" t="str">
        <x:v>AST-036</x:v>
      </x:c>
      <x:c r="B40" s="16" t="str">
        <x:v>Monitor</x:v>
      </x:c>
      <x:c r="C40" s="16" t="str">
        <x:v>Dell P2422H</x:v>
      </x:c>
      <x:c r="D40" s="16" t="str">
        <x:v>KRK262628</x:v>
      </x:c>
      <x:c r="E40" s="16" t="str">
        <x:v>EMP-069</x:v>
      </x:c>
      <x:c r="F40" s="16" t="str">
        <x:v>Kraków Headquarters</x:v>
      </x:c>
      <x:c r="G40" s="16" t="str">
        <x:v>In service</x:v>
      </x:c>
      <x:c r="H40" s="19" t="n">
        <x:v>44574.5</x:v>
      </x:c>
      <x:c r="I40" s="19" t="n">
        <x:v>45304.5</x:v>
      </x:c>
      <x:c r="J40" s="16" t="str">
        <x:v>Not applicable</x:v>
      </x:c>
    </x:row>
    <x:row r="41">
      <x:c r="A41" s="16" t="str">
        <x:v>AST-037</x:v>
      </x:c>
      <x:c r="B41" s="16" t="str">
        <x:v>Barcode Scanner</x:v>
      </x:c>
      <x:c r="C41" s="16" t="str">
        <x:v>Zebra TC52</x:v>
      </x:c>
      <x:c r="D41" s="16" t="str">
        <x:v>KRK262701</x:v>
      </x:c>
      <x:c r="E41" s="16" t="str">
        <x:v>EMP-047</x:v>
      </x:c>
      <x:c r="F41" s="16" t="str">
        <x:v>Kraków Operations Centre</x:v>
      </x:c>
      <x:c r="G41" s="16" t="str">
        <x:v>In service</x:v>
      </x:c>
      <x:c r="H41" s="19" t="n">
        <x:v>44971.5</x:v>
      </x:c>
      <x:c r="I41" s="19" t="n">
        <x:v>45702.5</x:v>
      </x:c>
      <x:c r="J41" s="16" t="str">
        <x:v>Android 13</x:v>
      </x:c>
    </x:row>
    <x:row r="42">
      <x:c r="A42" s="16" t="str">
        <x:v>AST-038</x:v>
      </x:c>
      <x:c r="B42" s="16" t="str">
        <x:v>Windows Laptop</x:v>
      </x:c>
      <x:c r="C42" s="16" t="str">
        <x:v>Dell Latitude 5450</x:v>
      </x:c>
      <x:c r="D42" s="16" t="str">
        <x:v>KRK262774</x:v>
      </x:c>
      <x:c r="E42" s="16" t="str">
        <x:v>EMP-095</x:v>
      </x:c>
      <x:c r="F42" s="16" t="str">
        <x:v>Kraków Headquarters</x:v>
      </x:c>
      <x:c r="G42" s="16" t="str">
        <x:v>Repair</x:v>
      </x:c>
      <x:c r="H42" s="19" t="n">
        <x:v>45366.5</x:v>
      </x:c>
      <x:c r="I42" s="19" t="n">
        <x:v>46096.5</x:v>
      </x:c>
      <x:c r="J42" s="16" t="str">
        <x:v>Windows 11 Enterprise</x:v>
      </x:c>
    </x:row>
    <x:row r="43">
      <x:c r="A43" s="16" t="str">
        <x:v>AST-039</x:v>
      </x:c>
      <x:c r="B43" s="16" t="str">
        <x:v>Docking Station</x:v>
      </x:c>
      <x:c r="C43" s="16" t="str">
        <x:v>Lenovo USB-C Dock Gen 2</x:v>
      </x:c>
      <x:c r="D43" s="16" t="str">
        <x:v>KRK262847</x:v>
      </x:c>
      <x:c r="E43" s="16" t="str">
        <x:v>EMP-008</x:v>
      </x:c>
      <x:c r="F43" s="16" t="str">
        <x:v>Remote - Poland</x:v>
      </x:c>
      <x:c r="G43" s="16" t="str">
        <x:v>In service</x:v>
      </x:c>
      <x:c r="H43" s="19" t="n">
        <x:v>45763.5</x:v>
      </x:c>
      <x:c r="I43" s="19" t="n">
        <x:v>46493.5</x:v>
      </x:c>
      <x:c r="J43" s="16" t="str">
        <x:v>Not applicable</x:v>
      </x:c>
    </x:row>
    <x:row r="44">
      <x:c r="A44" s="16" t="str">
        <x:v>AST-040</x:v>
      </x:c>
      <x:c r="B44" s="16" t="str">
        <x:v>Label Printer</x:v>
      </x:c>
      <x:c r="C44" s="16" t="str">
        <x:v>Zebra ZT411</x:v>
      </x:c>
      <x:c r="D44" s="16" t="str">
        <x:v>KRK262920</x:v>
      </x:c>
      <x:c r="E44" s="16" t="str">
        <x:v>EMP-050</x:v>
      </x:c>
      <x:c r="F44" s="16" t="str">
        <x:v>Kraków Operations Centre</x:v>
      </x:c>
      <x:c r="G44" s="16" t="str">
        <x:v>In service</x:v>
      </x:c>
      <x:c r="H44" s="19" t="n">
        <x:v>44333.5</x:v>
      </x:c>
      <x:c r="I44" s="19" t="n">
        <x:v>45429.5</x:v>
      </x:c>
      <x:c r="J44" s="16" t="str">
        <x:v>Firmware managed</x:v>
      </x:c>
    </x:row>
    <x:row r="45">
      <x:c r="A45" s="16" t="str">
        <x:v>AST-041</x:v>
      </x:c>
      <x:c r="B45" s="16" t="str">
        <x:v>Warehouse Tablet</x:v>
      </x:c>
      <x:c r="C45" s="16" t="str">
        <x:v>Samsung Tab Active4 Pro</x:v>
      </x:c>
      <x:c r="D45" s="16" t="str">
        <x:v>KRK262993</x:v>
      </x:c>
      <x:c r="E45" s="16" t="str">
        <x:v>EMP-051</x:v>
      </x:c>
      <x:c r="F45" s="16" t="str">
        <x:v>Kraków Operations Centre</x:v>
      </x:c>
      <x:c r="G45" s="16" t="str">
        <x:v>In service</x:v>
      </x:c>
      <x:c r="H45" s="19" t="n">
        <x:v>44730.5</x:v>
      </x:c>
      <x:c r="I45" s="19" t="n">
        <x:v>45826.5</x:v>
      </x:c>
      <x:c r="J45" s="16" t="str">
        <x:v>Android 13</x:v>
      </x:c>
    </x:row>
    <x:row r="46">
      <x:c r="A46" s="16" t="str">
        <x:v>AST-042</x:v>
      </x:c>
      <x:c r="B46" s="16" t="str">
        <x:v>Windows Laptop</x:v>
      </x:c>
      <x:c r="C46" s="16" t="str">
        <x:v>HP EliteBook 840</x:v>
      </x:c>
      <x:c r="D46" s="16" t="str">
        <x:v>KRK263066</x:v>
      </x:c>
      <x:c r="E46" s="16" t="str">
        <x:v>EMP-047</x:v>
      </x:c>
      <x:c r="F46" s="16" t="str">
        <x:v>Kraków Operations Centre</x:v>
      </x:c>
      <x:c r="G46" s="16" t="str">
        <x:v>In service</x:v>
      </x:c>
      <x:c r="H46" s="19" t="n">
        <x:v>45126.5</x:v>
      </x:c>
      <x:c r="I46" s="19" t="n">
        <x:v>46222.5</x:v>
      </x:c>
      <x:c r="J46" s="16" t="str">
        <x:v>Windows 11 Enterprise</x:v>
      </x:c>
    </x:row>
    <x:row r="47">
      <x:c r="A47" s="16" t="str">
        <x:v>AST-043</x:v>
      </x:c>
      <x:c r="B47" s="16" t="str">
        <x:v>Monitor</x:v>
      </x:c>
      <x:c r="C47" s="16" t="str">
        <x:v>LG 27BN65Q</x:v>
      </x:c>
      <x:c r="D47" s="16" t="str">
        <x:v>KRK263139</x:v>
      </x:c>
      <x:c r="E47" s="16" t="str">
        <x:v>EMP-060</x:v>
      </x:c>
      <x:c r="F47" s="16" t="str">
        <x:v>Kraków Operations Centre</x:v>
      </x:c>
      <x:c r="G47" s="16" t="str">
        <x:v>In service</x:v>
      </x:c>
      <x:c r="H47" s="19" t="n">
        <x:v>45524.5</x:v>
      </x:c>
      <x:c r="I47" s="19" t="n">
        <x:v>46619.5</x:v>
      </x:c>
      <x:c r="J47" s="16" t="str">
        <x:v>Not applicable</x:v>
      </x:c>
    </x:row>
    <x:row r="48">
      <x:c r="A48" s="16" t="str">
        <x:v>AST-044</x:v>
      </x:c>
      <x:c r="B48" s="16" t="str">
        <x:v>Barcode Scanner</x:v>
      </x:c>
      <x:c r="C48" s="16" t="str">
        <x:v>Honeywell CT45</x:v>
      </x:c>
      <x:c r="D48" s="16" t="str">
        <x:v>KRK263212</x:v>
      </x:c>
      <x:c r="E48" s="16" t="str">
        <x:v>EMP-054</x:v>
      </x:c>
      <x:c r="F48" s="16" t="str">
        <x:v>Kraków Operations Centre</x:v>
      </x:c>
      <x:c r="G48" s="16" t="str">
        <x:v>In service</x:v>
      </x:c>
      <x:c r="H48" s="19" t="n">
        <x:v>45921.5</x:v>
      </x:c>
      <x:c r="I48" s="19" t="n">
        <x:v>45556.5</x:v>
      </x:c>
      <x:c r="J48" s="16" t="str">
        <x:v>Android 13</x:v>
      </x:c>
    </x:row>
    <x:row r="49">
      <x:c r="A49" s="16" t="str">
        <x:v>AST-045</x:v>
      </x:c>
      <x:c r="B49" s="16" t="str">
        <x:v>Windows Laptop</x:v>
      </x:c>
      <x:c r="C49" s="16" t="str">
        <x:v>Dell Latitude 5450</x:v>
      </x:c>
      <x:c r="D49" s="16" t="str">
        <x:v>KRK263285</x:v>
      </x:c>
      <x:c r="E49" s="16" t="str">
        <x:v>EMP-086</x:v>
      </x:c>
      <x:c r="F49" s="16" t="str">
        <x:v>Kraków Operations Centre</x:v>
      </x:c>
      <x:c r="G49" s="16" t="str">
        <x:v>In service</x:v>
      </x:c>
      <x:c r="H49" s="19" t="n">
        <x:v>44491.5</x:v>
      </x:c>
      <x:c r="I49" s="19" t="n">
        <x:v>45952.5</x:v>
      </x:c>
      <x:c r="J49" s="16" t="str">
        <x:v>Windows 11 Enterprise</x:v>
      </x:c>
    </x:row>
    <x:row r="50">
      <x:c r="A50" s="16" t="str">
        <x:v>AST-046</x:v>
      </x:c>
      <x:c r="B50" s="16" t="str">
        <x:v>Docking Station</x:v>
      </x:c>
      <x:c r="C50" s="16" t="str">
        <x:v>Lenovo USB-C Dock Gen 2</x:v>
      </x:c>
      <x:c r="D50" s="16" t="str">
        <x:v>KRK263358</x:v>
      </x:c>
      <x:c r="E50" s="16" t="str">
        <x:v>EMP-099</x:v>
      </x:c>
      <x:c r="F50" s="16" t="str">
        <x:v>Kraków Headquarters</x:v>
      </x:c>
      <x:c r="G50" s="16" t="str">
        <x:v>In service</x:v>
      </x:c>
      <x:c r="H50" s="19" t="n">
        <x:v>44888.5</x:v>
      </x:c>
      <x:c r="I50" s="19" t="n">
        <x:v>46349.5</x:v>
      </x:c>
      <x:c r="J50" s="16" t="str">
        <x:v>Not applicable</x:v>
      </x:c>
    </x:row>
    <x:row r="51">
      <x:c r="A51" s="16" t="str">
        <x:v>AST-047</x:v>
      </x:c>
      <x:c r="B51" s="16" t="str">
        <x:v>Label Printer</x:v>
      </x:c>
      <x:c r="C51" s="16" t="str">
        <x:v>Zebra ZD421</x:v>
      </x:c>
      <x:c r="D51" s="16" t="str">
        <x:v>KRK263431</x:v>
      </x:c>
      <x:c r="E51" s="16" t="str">
        <x:v>EMP-034</x:v>
      </x:c>
      <x:c r="F51" s="16" t="str">
        <x:v>Kraków Operations Centre</x:v>
      </x:c>
      <x:c r="G51" s="16" t="str">
        <x:v>In service</x:v>
      </x:c>
      <x:c r="H51" s="19" t="n">
        <x:v>45284.5</x:v>
      </x:c>
      <x:c r="I51" s="19" t="n">
        <x:v>46745.5</x:v>
      </x:c>
      <x:c r="J51" s="16" t="str">
        <x:v>Firmware managed</x:v>
      </x:c>
    </x:row>
    <x:row r="52">
      <x:c r="A52" s="16" t="str">
        <x:v>AST-048</x:v>
      </x:c>
      <x:c r="B52" s="16" t="str">
        <x:v>Warehouse Tablet</x:v>
      </x:c>
      <x:c r="C52" s="16" t="str">
        <x:v>Zebra ET45</x:v>
      </x:c>
      <x:c r="D52" s="16" t="str">
        <x:v>KRK263504</x:v>
      </x:c>
      <x:c r="E52" s="16" t="str">
        <x:v>EMP-035</x:v>
      </x:c>
      <x:c r="F52" s="16" t="str">
        <x:v>Kraków Operations Centre</x:v>
      </x:c>
      <x:c r="G52" s="16" t="str">
        <x:v>In service</x:v>
      </x:c>
      <x:c r="H52" s="19" t="n">
        <x:v>45292.5</x:v>
      </x:c>
      <x:c r="I52" s="19" t="n">
        <x:v>45292.5</x:v>
      </x:c>
      <x:c r="J52" s="16" t="str">
        <x:v>Android 13</x:v>
      </x:c>
    </x:row>
    <x:row r="53">
      <x:c r="A53" s="16" t="str">
        <x:v>AST-049</x:v>
      </x:c>
      <x:c r="B53" s="16" t="str">
        <x:v>Windows Laptop</x:v>
      </x:c>
      <x:c r="C53" s="16" t="str">
        <x:v>Lenovo ThinkPad T14</x:v>
      </x:c>
      <x:c r="D53" s="16" t="str">
        <x:v>KRK263577</x:v>
      </x:c>
      <x:c r="E53" s="16" t="str">
        <x:v>EMP-038</x:v>
      </x:c>
      <x:c r="F53" s="16" t="str">
        <x:v>Kraków Operations Centre</x:v>
      </x:c>
      <x:c r="G53" s="16" t="str">
        <x:v>In service</x:v>
      </x:c>
      <x:c r="H53" s="19" t="n">
        <x:v>45690.5</x:v>
      </x:c>
      <x:c r="I53" s="19" t="n">
        <x:v>45690.5</x:v>
      </x:c>
      <x:c r="J53" s="16" t="str">
        <x:v>Windows 11 Enterprise</x:v>
      </x:c>
    </x:row>
    <x:row r="54">
      <x:c r="A54" s="16" t="str">
        <x:v>AST-050</x:v>
      </x:c>
      <x:c r="B54" s="16" t="str">
        <x:v>Monitor</x:v>
      </x:c>
      <x:c r="C54" s="16" t="str">
        <x:v>Dell P2422H</x:v>
      </x:c>
      <x:c r="D54" s="16" t="str">
        <x:v>KRK263650</x:v>
      </x:c>
      <x:c r="E54" s="16" t="str">
        <x:v>EMP-051</x:v>
      </x:c>
      <x:c r="F54" s="16" t="str">
        <x:v>Kraków Operations Centre</x:v>
      </x:c>
      <x:c r="G54" s="16" t="str">
        <x:v>In service</x:v>
      </x:c>
      <x:c r="H54" s="19" t="n">
        <x:v>44258.5</x:v>
      </x:c>
      <x:c r="I54" s="19" t="n">
        <x:v>46084.5</x:v>
      </x:c>
      <x:c r="J54" s="16" t="str">
        <x:v>Not applicable</x:v>
      </x:c>
    </x:row>
    <x:row r="55">
      <x:c r="A55" s="16" t="str">
        <x:v>AST-051</x:v>
      </x:c>
      <x:c r="B55" s="16" t="str">
        <x:v>Barcode Scanner</x:v>
      </x:c>
      <x:c r="C55" s="16" t="str">
        <x:v>Honeywell CT45</x:v>
      </x:c>
      <x:c r="D55" s="16" t="str">
        <x:v>KRK263723</x:v>
      </x:c>
      <x:c r="E55" s="16" t="str">
        <x:v>EMP-038</x:v>
      </x:c>
      <x:c r="F55" s="16" t="str">
        <x:v>Kraków Operations Centre</x:v>
      </x:c>
      <x:c r="G55" s="16" t="str">
        <x:v>Repair</x:v>
      </x:c>
      <x:c r="H55" s="19" t="n">
        <x:v>44655.5</x:v>
      </x:c>
      <x:c r="I55" s="19" t="n">
        <x:v>46481.5</x:v>
      </x:c>
      <x:c r="J55" s="16" t="str">
        <x:v>Android 13</x:v>
      </x:c>
    </x:row>
    <x:row r="56">
      <x:c r="A56" s="16" t="str">
        <x:v>AST-052</x:v>
      </x:c>
      <x:c r="B56" s="16" t="str">
        <x:v>Windows Laptop</x:v>
      </x:c>
      <x:c r="C56" s="16" t="str">
        <x:v>HP EliteBook 840</x:v>
      </x:c>
      <x:c r="D56" s="16" t="str">
        <x:v>KRK263796</x:v>
      </x:c>
      <x:c r="E56" s="16" t="str">
        <x:v>EMP-077</x:v>
      </x:c>
      <x:c r="F56" s="16" t="str">
        <x:v>Kraków Headquarters</x:v>
      </x:c>
      <x:c r="G56" s="16" t="str">
        <x:v>In service</x:v>
      </x:c>
      <x:c r="H56" s="19" t="n">
        <x:v>45051.5</x:v>
      </x:c>
      <x:c r="I56" s="19" t="n">
        <x:v>45417.5</x:v>
      </x:c>
      <x:c r="J56" s="16" t="str">
        <x:v>Windows 11 Enterprise</x:v>
      </x:c>
    </x:row>
    <x:row r="57">
      <x:c r="A57" s="16" t="str">
        <x:v>AST-053</x:v>
      </x:c>
      <x:c r="B57" s="16" t="str">
        <x:v>Docking Station</x:v>
      </x:c>
      <x:c r="C57" s="16" t="str">
        <x:v>Dell WD19S</x:v>
      </x:c>
      <x:c r="D57" s="16" t="str">
        <x:v>KRK263869</x:v>
      </x:c>
      <x:c r="E57" s="16" t="str">
        <x:v>EMP-090</x:v>
      </x:c>
      <x:c r="F57" s="16" t="str">
        <x:v>Kraków Operations Centre</x:v>
      </x:c>
      <x:c r="G57" s="16" t="str">
        <x:v>In service</x:v>
      </x:c>
      <x:c r="H57" s="19" t="n">
        <x:v>45449.5</x:v>
      </x:c>
      <x:c r="I57" s="19" t="n">
        <x:v>45814.5</x:v>
      </x:c>
      <x:c r="J57" s="16" t="str">
        <x:v>Not applicable</x:v>
      </x:c>
    </x:row>
    <x:row r="58">
      <x:c r="A58" s="16" t="str">
        <x:v>AST-054</x:v>
      </x:c>
      <x:c r="B58" s="16" t="str">
        <x:v>Label Printer</x:v>
      </x:c>
      <x:c r="C58" s="16" t="str">
        <x:v>Zebra ZT411</x:v>
      </x:c>
      <x:c r="D58" s="16" t="str">
        <x:v>KRK263942</x:v>
      </x:c>
      <x:c r="E58" s="16" t="str">
        <x:v>Shared</x:v>
      </x:c>
      <x:c r="F58" s="16" t="str">
        <x:v>Kraków Operations Centre</x:v>
      </x:c>
      <x:c r="G58" s="16" t="str">
        <x:v>In service</x:v>
      </x:c>
      <x:c r="H58" s="19" t="n">
        <x:v>45845.5</x:v>
      </x:c>
      <x:c r="I58" s="19" t="n">
        <x:v>46210.5</x:v>
      </x:c>
      <x:c r="J58" s="16" t="str">
        <x:v>Firmware managed</x:v>
      </x:c>
    </x:row>
    <x:row r="59">
      <x:c r="A59" s="16" t="str">
        <x:v>AST-055</x:v>
      </x:c>
      <x:c r="B59" s="16" t="str">
        <x:v>Warehouse Tablet</x:v>
      </x:c>
      <x:c r="C59" s="16" t="str">
        <x:v>Zebra ET45</x:v>
      </x:c>
      <x:c r="D59" s="16" t="str">
        <x:v>KRK264015</x:v>
      </x:c>
      <x:c r="E59" s="16" t="str">
        <x:v>EMP-042</x:v>
      </x:c>
      <x:c r="F59" s="16" t="str">
        <x:v>Kraków Operations Centre</x:v>
      </x:c>
      <x:c r="G59" s="16" t="str">
        <x:v>In service</x:v>
      </x:c>
      <x:c r="H59" s="19" t="n">
        <x:v>44416.5</x:v>
      </x:c>
      <x:c r="I59" s="19" t="n">
        <x:v>46607.5</x:v>
      </x:c>
      <x:c r="J59" s="16" t="str">
        <x:v>Android 13</x:v>
      </x:c>
    </x:row>
    <x:row r="60">
      <x:c r="A60" s="16" t="str">
        <x:v>AST-056</x:v>
      </x:c>
      <x:c r="B60" s="16" t="str">
        <x:v>Windows Laptop</x:v>
      </x:c>
      <x:c r="C60" s="16" t="str">
        <x:v>Dell Latitude 5450</x:v>
      </x:c>
      <x:c r="D60" s="16" t="str">
        <x:v>KRK264088</x:v>
      </x:c>
      <x:c r="E60" s="16" t="str">
        <x:v>EMP-029</x:v>
      </x:c>
      <x:c r="F60" s="16" t="str">
        <x:v>Kraków Headquarters</x:v>
      </x:c>
      <x:c r="G60" s="16" t="str">
        <x:v>In service</x:v>
      </x:c>
      <x:c r="H60" s="19" t="n">
        <x:v>44813.5</x:v>
      </x:c>
      <x:c r="I60" s="19" t="n">
        <x:v>45544.5</x:v>
      </x:c>
      <x:c r="J60" s="16" t="str">
        <x:v>Windows 11 Enterprise</x:v>
      </x:c>
    </x:row>
    <x:row r="61">
      <x:c r="A61" s="16" t="str">
        <x:v>AST-057</x:v>
      </x:c>
      <x:c r="B61" s="16" t="str">
        <x:v>Monitor</x:v>
      </x:c>
      <x:c r="C61" s="16" t="str">
        <x:v>Dell P2422H</x:v>
      </x:c>
      <x:c r="D61" s="16" t="str">
        <x:v>KRK264161</x:v>
      </x:c>
      <x:c r="E61" s="16" t="str">
        <x:v>EMP-042</x:v>
      </x:c>
      <x:c r="F61" s="16" t="str">
        <x:v>Kraków Operations Centre</x:v>
      </x:c>
      <x:c r="G61" s="16" t="str">
        <x:v>Repair</x:v>
      </x:c>
      <x:c r="H61" s="19" t="n">
        <x:v>45209.5</x:v>
      </x:c>
      <x:c r="I61" s="19" t="n">
        <x:v>45940.5</x:v>
      </x:c>
      <x:c r="J61" s="16" t="str">
        <x:v>Not applicable</x:v>
      </x:c>
    </x:row>
    <x:row r="62">
      <x:c r="A62" s="16" t="str">
        <x:v>AST-058</x:v>
      </x:c>
      <x:c r="B62" s="16" t="str">
        <x:v>Barcode Scanner</x:v>
      </x:c>
      <x:c r="C62" s="16" t="str">
        <x:v>Honeywell CT45</x:v>
      </x:c>
      <x:c r="D62" s="16" t="str">
        <x:v>KRK264234</x:v>
      </x:c>
      <x:c r="E62" s="16" t="str">
        <x:v>EMP-045</x:v>
      </x:c>
      <x:c r="F62" s="16" t="str">
        <x:v>Kraków Operations Centre</x:v>
      </x:c>
      <x:c r="G62" s="16" t="str">
        <x:v>In service</x:v>
      </x:c>
      <x:c r="H62" s="19" t="n">
        <x:v>45607.5</x:v>
      </x:c>
      <x:c r="I62" s="19" t="n">
        <x:v>46337.5</x:v>
      </x:c>
      <x:c r="J62" s="16" t="str">
        <x:v>Android 13</x:v>
      </x:c>
    </x:row>
    <x:row r="63">
      <x:c r="A63" s="16" t="str">
        <x:v>AST-059</x:v>
      </x:c>
      <x:c r="B63" s="16" t="str">
        <x:v>Windows Laptop</x:v>
      </x:c>
      <x:c r="C63" s="16" t="str">
        <x:v>Lenovo ThinkPad T14</x:v>
      </x:c>
      <x:c r="D63" s="16" t="str">
        <x:v>KRK264307</x:v>
      </x:c>
      <x:c r="E63" s="16" t="str">
        <x:v>EMP-068</x:v>
      </x:c>
      <x:c r="F63" s="16" t="str">
        <x:v>Kraków Headquarters</x:v>
      </x:c>
      <x:c r="G63" s="16" t="str">
        <x:v>In service</x:v>
      </x:c>
      <x:c r="H63" s="19" t="n">
        <x:v>46003.5</x:v>
      </x:c>
      <x:c r="I63" s="19" t="n">
        <x:v>46733.5</x:v>
      </x:c>
      <x:c r="J63" s="16" t="str">
        <x:v>Windows 11 Enterprise</x:v>
      </x:c>
    </x:row>
    <x:row r="64">
      <x:c r="A64" s="16" t="str">
        <x:v>AST-060</x:v>
      </x:c>
      <x:c r="B64" s="16" t="str">
        <x:v>Docking Station</x:v>
      </x:c>
      <x:c r="C64" s="16" t="str">
        <x:v>Dell WD19S</x:v>
      </x:c>
      <x:c r="D64" s="16" t="str">
        <x:v>KRK264380</x:v>
      </x:c>
      <x:c r="E64" s="16" t="str">
        <x:v>EMP-081</x:v>
      </x:c>
      <x:c r="F64" s="16" t="str">
        <x:v>Kraków Operations Centre</x:v>
      </x:c>
      <x:c r="G64" s="16" t="str">
        <x:v>In service</x:v>
      </x:c>
      <x:c r="H64" s="19" t="n">
        <x:v>44209.5</x:v>
      </x:c>
      <x:c r="I64" s="19" t="n">
        <x:v>45304.5</x:v>
      </x:c>
      <x:c r="J64" s="16" t="str">
        <x:v>Not applicable</x:v>
      </x:c>
    </x:row>
    <x:row r="65">
      <x:c r="A65" s="16" t="str">
        <x:v>AST-061</x:v>
      </x:c>
      <x:c r="B65" s="16" t="str">
        <x:v>Label Printer</x:v>
      </x:c>
      <x:c r="C65" s="16" t="str">
        <x:v>Zebra ZT411</x:v>
      </x:c>
      <x:c r="D65" s="16" t="str">
        <x:v>KRK264453</x:v>
      </x:c>
      <x:c r="E65" s="16" t="str">
        <x:v>EMP-048</x:v>
      </x:c>
      <x:c r="F65" s="16" t="str">
        <x:v>Kraków Operations Centre</x:v>
      </x:c>
      <x:c r="G65" s="16" t="str">
        <x:v>In service</x:v>
      </x:c>
      <x:c r="H65" s="19" t="n">
        <x:v>44606.5</x:v>
      </x:c>
      <x:c r="I65" s="19" t="n">
        <x:v>45702.5</x:v>
      </x:c>
      <x:c r="J65" s="16" t="str">
        <x:v>Firmware managed</x:v>
      </x:c>
    </x:row>
    <x:row r="66">
      <x:c r="A66" s="16" t="str">
        <x:v>AST-062</x:v>
      </x:c>
      <x:c r="B66" s="16" t="str">
        <x:v>Warehouse Tablet</x:v>
      </x:c>
      <x:c r="C66" s="16" t="str">
        <x:v>Zebra ET45</x:v>
      </x:c>
      <x:c r="D66" s="16" t="str">
        <x:v>KRK264526</x:v>
      </x:c>
      <x:c r="E66" s="16" t="str">
        <x:v>EMP-049</x:v>
      </x:c>
      <x:c r="F66" s="16" t="str">
        <x:v>Kraków Operations Centre</x:v>
      </x:c>
      <x:c r="G66" s="16" t="str">
        <x:v>In service</x:v>
      </x:c>
      <x:c r="H66" s="19" t="n">
        <x:v>45000.5</x:v>
      </x:c>
      <x:c r="I66" s="19" t="n">
        <x:v>46096.5</x:v>
      </x:c>
      <x:c r="J66" s="16" t="str">
        <x:v>Android 13</x:v>
      </x:c>
    </x:row>
    <x:row r="67">
      <x:c r="A67" s="16" t="str">
        <x:v>AST-063</x:v>
      </x:c>
      <x:c r="B67" s="16" t="str">
        <x:v>Windows Laptop</x:v>
      </x:c>
      <x:c r="C67" s="16" t="str">
        <x:v>Lenovo ThinkPad T14</x:v>
      </x:c>
      <x:c r="D67" s="16" t="str">
        <x:v>KRK264599</x:v>
      </x:c>
      <x:c r="E67" s="16" t="str">
        <x:v>EMP-020</x:v>
      </x:c>
      <x:c r="F67" s="16" t="str">
        <x:v>Kraków Headquarters</x:v>
      </x:c>
      <x:c r="G67" s="16" t="str">
        <x:v>In service</x:v>
      </x:c>
      <x:c r="H67" s="19" t="n">
        <x:v>45398.5</x:v>
      </x:c>
      <x:c r="I67" s="19" t="n">
        <x:v>46493.5</x:v>
      </x:c>
      <x:c r="J67" s="16" t="str">
        <x:v>Windows 11 Enterprise</x:v>
      </x:c>
    </x:row>
    <x:row r="68">
      <x:c r="A68" s="16" t="str">
        <x:v>AST-064</x:v>
      </x:c>
      <x:c r="B68" s="16" t="str">
        <x:v>Monitor</x:v>
      </x:c>
      <x:c r="C68" s="16" t="str">
        <x:v>Dell P2422H</x:v>
      </x:c>
      <x:c r="D68" s="16" t="str">
        <x:v>KRK264672</x:v>
      </x:c>
      <x:c r="E68" s="16" t="str">
        <x:v>EMP-033</x:v>
      </x:c>
      <x:c r="F68" s="16" t="str">
        <x:v>Kraków Operations Centre</x:v>
      </x:c>
      <x:c r="G68" s="16" t="str">
        <x:v>In service</x:v>
      </x:c>
      <x:c r="H68" s="19" t="n">
        <x:v>45794.5</x:v>
      </x:c>
      <x:c r="I68" s="19" t="n">
        <x:v>45429.5</x:v>
      </x:c>
      <x:c r="J68" s="16" t="str">
        <x:v>Not applicable</x:v>
      </x:c>
    </x:row>
    <x:row r="69">
      <x:c r="A69" s="16" t="str">
        <x:v>AST-065</x:v>
      </x:c>
      <x:c r="B69" s="16" t="str">
        <x:v>Barcode Scanner</x:v>
      </x:c>
      <x:c r="C69" s="16" t="str">
        <x:v>Zebra TC52</x:v>
      </x:c>
      <x:c r="D69" s="16" t="str">
        <x:v>KRK264745</x:v>
      </x:c>
      <x:c r="E69" s="16" t="str">
        <x:v>EMP-052</x:v>
      </x:c>
      <x:c r="F69" s="16" t="str">
        <x:v>Kraków Operations Centre</x:v>
      </x:c>
      <x:c r="G69" s="16" t="str">
        <x:v>In service</x:v>
      </x:c>
      <x:c r="H69" s="19" t="n">
        <x:v>44365.5</x:v>
      </x:c>
      <x:c r="I69" s="19" t="n">
        <x:v>45826.5</x:v>
      </x:c>
      <x:c r="J69" s="16" t="str">
        <x:v>Android 13</x:v>
      </x:c>
    </x:row>
    <x:row r="70">
      <x:c r="A70" s="16" t="str">
        <x:v>AST-066</x:v>
      </x:c>
      <x:c r="B70" s="16" t="str">
        <x:v>Windows Laptop</x:v>
      </x:c>
      <x:c r="C70" s="16" t="str">
        <x:v>Lenovo ThinkPad T14</x:v>
      </x:c>
      <x:c r="D70" s="16" t="str">
        <x:v>KRK264818</x:v>
      </x:c>
      <x:c r="E70" s="16" t="str">
        <x:v>Shared</x:v>
      </x:c>
      <x:c r="F70" s="16" t="str">
        <x:v>Kraków Operations Centre</x:v>
      </x:c>
      <x:c r="G70" s="16" t="str">
        <x:v>In service</x:v>
      </x:c>
      <x:c r="H70" s="19" t="n">
        <x:v>44761.5</x:v>
      </x:c>
      <x:c r="I70" s="19" t="n">
        <x:v>46222.5</x:v>
      </x:c>
      <x:c r="J70" s="16" t="str">
        <x:v>Windows 11 Enterprise</x:v>
      </x:c>
    </x:row>
    <x:row r="71">
      <x:c r="A71" s="16" t="str">
        <x:v>AST-067</x:v>
      </x:c>
      <x:c r="B71" s="16" t="str">
        <x:v>Docking Station</x:v>
      </x:c>
      <x:c r="C71" s="16" t="str">
        <x:v>Lenovo USB-C Dock Gen 2</x:v>
      </x:c>
      <x:c r="D71" s="16" t="str">
        <x:v>KRK264891</x:v>
      </x:c>
      <x:c r="E71" s="16" t="str">
        <x:v>EMP-072</x:v>
      </x:c>
      <x:c r="F71" s="16" t="str">
        <x:v>Remote - Poland</x:v>
      </x:c>
      <x:c r="G71" s="16" t="str">
        <x:v>In service</x:v>
      </x:c>
      <x:c r="H71" s="19" t="n">
        <x:v>45158.5</x:v>
      </x:c>
      <x:c r="I71" s="19" t="n">
        <x:v>46619.5</x:v>
      </x:c>
      <x:c r="J71" s="16" t="str">
        <x:v>Not applicable</x:v>
      </x:c>
    </x:row>
    <x:row r="72">
      <x:c r="A72" s="16" t="str">
        <x:v>AST-068</x:v>
      </x:c>
      <x:c r="B72" s="16" t="str">
        <x:v>Label Printer</x:v>
      </x:c>
      <x:c r="C72" s="16" t="str">
        <x:v>Zebra ZD421</x:v>
      </x:c>
      <x:c r="D72" s="16" t="str">
        <x:v>KRK264964</x:v>
      </x:c>
      <x:c r="E72" s="16" t="str">
        <x:v>EMP-055</x:v>
      </x:c>
      <x:c r="F72" s="16" t="str">
        <x:v>Kraków Operations Centre</x:v>
      </x:c>
      <x:c r="G72" s="16" t="str">
        <x:v>Repair</x:v>
      </x:c>
      <x:c r="H72" s="19" t="n">
        <x:v>45556.5</x:v>
      </x:c>
      <x:c r="I72" s="19" t="n">
        <x:v>45556.5</x:v>
      </x:c>
      <x:c r="J72" s="16" t="str">
        <x:v>Firmware managed</x:v>
      </x:c>
    </x:row>
    <x:row r="73">
      <x:c r="A73" s="16" t="str">
        <x:v>AST-069</x:v>
      </x:c>
      <x:c r="B73" s="16" t="str">
        <x:v>Warehouse Tablet</x:v>
      </x:c>
      <x:c r="C73" s="16" t="str">
        <x:v>Zebra ET45</x:v>
      </x:c>
      <x:c r="D73" s="16" t="str">
        <x:v>KRK265037</x:v>
      </x:c>
      <x:c r="E73" s="16" t="str">
        <x:v>EMP-033</x:v>
      </x:c>
      <x:c r="F73" s="16" t="str">
        <x:v>Kraków Operations Centre</x:v>
      </x:c>
      <x:c r="G73" s="16" t="str">
        <x:v>In service</x:v>
      </x:c>
      <x:c r="H73" s="19" t="n">
        <x:v>45952.5</x:v>
      </x:c>
      <x:c r="I73" s="19" t="n">
        <x:v>45952.5</x:v>
      </x:c>
      <x:c r="J73" s="16" t="str">
        <x:v>Android 13</x:v>
      </x:c>
    </x:row>
    <x:row r="74">
      <x:c r="A74" s="16" t="str">
        <x:v>AST-070</x:v>
      </x:c>
      <x:c r="B74" s="16" t="str">
        <x:v>Windows Laptop</x:v>
      </x:c>
      <x:c r="C74" s="16" t="str">
        <x:v>Dell Latitude 5450</x:v>
      </x:c>
      <x:c r="D74" s="16" t="str">
        <x:v>KRK265110</x:v>
      </x:c>
      <x:c r="E74" s="16" t="str">
        <x:v>EMP-011</x:v>
      </x:c>
      <x:c r="F74" s="16" t="str">
        <x:v>Kraków Headquarters</x:v>
      </x:c>
      <x:c r="G74" s="16" t="str">
        <x:v>In service</x:v>
      </x:c>
      <x:c r="H74" s="19" t="n">
        <x:v>44523.5</x:v>
      </x:c>
      <x:c r="I74" s="19" t="n">
        <x:v>46349.5</x:v>
      </x:c>
      <x:c r="J74" s="16" t="str">
        <x:v>Windows 11 Enterprise</x:v>
      </x:c>
    </x:row>
    <x:row r="75">
      <x:c r="A75" s="16" t="str">
        <x:v>AST-071</x:v>
      </x:c>
      <x:c r="B75" s="16" t="str">
        <x:v>Monitor</x:v>
      </x:c>
      <x:c r="C75" s="16" t="str">
        <x:v>LG 27BN65Q</x:v>
      </x:c>
      <x:c r="D75" s="16" t="str">
        <x:v>KRK265183</x:v>
      </x:c>
      <x:c r="E75" s="16" t="str">
        <x:v>EMP-024</x:v>
      </x:c>
      <x:c r="F75" s="16" t="str">
        <x:v>Remote - Poland</x:v>
      </x:c>
      <x:c r="G75" s="16" t="str">
        <x:v>In service</x:v>
      </x:c>
      <x:c r="H75" s="19" t="n">
        <x:v>44919.5</x:v>
      </x:c>
      <x:c r="I75" s="19" t="n">
        <x:v>46745.5</x:v>
      </x:c>
      <x:c r="J75" s="16" t="str">
        <x:v>Not applicable</x:v>
      </x:c>
    </x:row>
    <x:row r="76">
      <x:c r="A76" s="16" t="str">
        <x:v>AST-072</x:v>
      </x:c>
      <x:c r="B76" s="16" t="str">
        <x:v>Barcode Scanner</x:v>
      </x:c>
      <x:c r="C76" s="16" t="str">
        <x:v>Zebra TC52</x:v>
      </x:c>
      <x:c r="D76" s="16" t="str">
        <x:v>KRK265256</x:v>
      </x:c>
      <x:c r="E76" s="16" t="str">
        <x:v>Shared</x:v>
      </x:c>
      <x:c r="F76" s="16" t="str">
        <x:v>Kraków Operations Centre</x:v>
      </x:c>
      <x:c r="G76" s="16" t="str">
        <x:v>In service</x:v>
      </x:c>
      <x:c r="H76" s="19" t="n">
        <x:v>44927.5</x:v>
      </x:c>
      <x:c r="I76" s="19" t="n">
        <x:v>45292.5</x:v>
      </x:c>
      <x:c r="J76" s="16" t="str">
        <x:v>Android 13</x:v>
      </x:c>
    </x:row>
    <x:row r="77">
      <x:c r="A77" s="16" t="str">
        <x:v>AST-073</x:v>
      </x:c>
      <x:c r="B77" s="16" t="str">
        <x:v>Windows Laptop</x:v>
      </x:c>
      <x:c r="C77" s="16" t="str">
        <x:v>HP EliteBook 840</x:v>
      </x:c>
      <x:c r="D77" s="16" t="str">
        <x:v>KRK265329</x:v>
      </x:c>
      <x:c r="E77" s="16" t="str">
        <x:v>EMP-050</x:v>
      </x:c>
      <x:c r="F77" s="16" t="str">
        <x:v>Kraków Operations Centre</x:v>
      </x:c>
      <x:c r="G77" s="16" t="str">
        <x:v>In service</x:v>
      </x:c>
      <x:c r="H77" s="19" t="n">
        <x:v>45324.5</x:v>
      </x:c>
      <x:c r="I77" s="19" t="n">
        <x:v>45690.5</x:v>
      </x:c>
      <x:c r="J77" s="16" t="str">
        <x:v>Windows 11 Enterprise</x:v>
      </x:c>
    </x:row>
    <x:row r="78">
      <x:c r="A78" s="16" t="str">
        <x:v>AST-074</x:v>
      </x:c>
      <x:c r="B78" s="16" t="str">
        <x:v>Docking Station</x:v>
      </x:c>
      <x:c r="C78" s="16" t="str">
        <x:v>Lenovo USB-C Dock Gen 2</x:v>
      </x:c>
      <x:c r="D78" s="16" t="str">
        <x:v>KRK265402</x:v>
      </x:c>
      <x:c r="E78" s="16" t="str">
        <x:v>EMP-063</x:v>
      </x:c>
      <x:c r="F78" s="16" t="str">
        <x:v>Kraków Operations Centre</x:v>
      </x:c>
      <x:c r="G78" s="16" t="str">
        <x:v>In service</x:v>
      </x:c>
      <x:c r="H78" s="19" t="n">
        <x:v>45719.5</x:v>
      </x:c>
      <x:c r="I78" s="19" t="n">
        <x:v>46084.5</x:v>
      </x:c>
      <x:c r="J78" s="16" t="str">
        <x:v>Not applicable</x:v>
      </x:c>
    </x:row>
    <x:row r="79">
      <x:c r="A79" s="16" t="str">
        <x:v>AST-075</x:v>
      </x:c>
      <x:c r="B79" s="16" t="str">
        <x:v>Label Printer</x:v>
      </x:c>
      <x:c r="C79" s="16" t="str">
        <x:v>Zebra ZD421</x:v>
      </x:c>
      <x:c r="D79" s="16" t="str">
        <x:v>KRK265475</x:v>
      </x:c>
      <x:c r="E79" s="16" t="str">
        <x:v>EMP-039</x:v>
      </x:c>
      <x:c r="F79" s="16" t="str">
        <x:v>Kraków Operations Centre</x:v>
      </x:c>
      <x:c r="G79" s="16" t="str">
        <x:v>In service</x:v>
      </x:c>
      <x:c r="H79" s="19" t="n">
        <x:v>44290.5</x:v>
      </x:c>
      <x:c r="I79" s="19" t="n">
        <x:v>46481.5</x:v>
      </x:c>
      <x:c r="J79" s="16" t="str">
        <x:v>Firmware managed</x:v>
      </x:c>
    </x:row>
    <x:row r="80">
      <x:c r="A80" s="16" t="str">
        <x:v>AST-076</x:v>
      </x:c>
      <x:c r="B80" s="16" t="str">
        <x:v>Warehouse Tablet</x:v>
      </x:c>
      <x:c r="C80" s="16" t="str">
        <x:v>Samsung Tab Active4 Pro</x:v>
      </x:c>
      <x:c r="D80" s="16" t="str">
        <x:v>KRK265548</x:v>
      </x:c>
      <x:c r="E80" s="16" t="str">
        <x:v>EMP-040</x:v>
      </x:c>
      <x:c r="F80" s="16" t="str">
        <x:v>Kraków Operations Centre</x:v>
      </x:c>
      <x:c r="G80" s="16" t="str">
        <x:v>In service</x:v>
      </x:c>
      <x:c r="H80" s="19" t="n">
        <x:v>44686.5</x:v>
      </x:c>
      <x:c r="I80" s="19" t="n">
        <x:v>45417.5</x:v>
      </x:c>
      <x:c r="J80" s="16" t="str">
        <x:v>Android 13</x:v>
      </x:c>
    </x:row>
    <x:row r="81">
      <x:c r="A81" s="16" t="str">
        <x:v>AST-077</x:v>
      </x:c>
      <x:c r="B81" s="16" t="str">
        <x:v>Windows Laptop</x:v>
      </x:c>
      <x:c r="C81" s="16" t="str">
        <x:v>HP EliteBook 840</x:v>
      </x:c>
      <x:c r="D81" s="16" t="str">
        <x:v>KRK265621</x:v>
      </x:c>
      <x:c r="E81" s="16" t="str">
        <x:v>Shared</x:v>
      </x:c>
      <x:c r="F81" s="16" t="str">
        <x:v>Kraków Headquarters</x:v>
      </x:c>
      <x:c r="G81" s="16" t="str">
        <x:v>In service</x:v>
      </x:c>
      <x:c r="H81" s="19" t="n">
        <x:v>45083.5</x:v>
      </x:c>
      <x:c r="I81" s="19" t="n">
        <x:v>45814.5</x:v>
      </x:c>
      <x:c r="J81" s="16" t="str">
        <x:v>Windows 11 Enterprise</x:v>
      </x:c>
    </x:row>
    <x:row r="82">
      <x:c r="A82" s="16" t="str">
        <x:v>AST-078</x:v>
      </x:c>
      <x:c r="B82" s="16" t="str">
        <x:v>Monitor</x:v>
      </x:c>
      <x:c r="C82" s="16" t="str">
        <x:v>Dell P2422H</x:v>
      </x:c>
      <x:c r="D82" s="16" t="str">
        <x:v>KRK265694</x:v>
      </x:c>
      <x:c r="E82" s="16" t="str">
        <x:v>EMP-015</x:v>
      </x:c>
      <x:c r="F82" s="16" t="str">
        <x:v>Kraków Headquarters</x:v>
      </x:c>
      <x:c r="G82" s="16" t="str">
        <x:v>In service</x:v>
      </x:c>
      <x:c r="H82" s="19" t="n">
        <x:v>45480.5</x:v>
      </x:c>
      <x:c r="I82" s="19" t="n">
        <x:v>46210.5</x:v>
      </x:c>
      <x:c r="J82" s="16" t="str">
        <x:v>Not applicable</x:v>
      </x:c>
    </x:row>
    <x:row r="83">
      <x:c r="A83" s="16" t="str">
        <x:v>AST-079</x:v>
      </x:c>
      <x:c r="B83" s="16" t="str">
        <x:v>Barcode Scanner</x:v>
      </x:c>
      <x:c r="C83" s="16" t="str">
        <x:v>Zebra TC52</x:v>
      </x:c>
      <x:c r="D83" s="16" t="str">
        <x:v>KRK265767</x:v>
      </x:c>
      <x:c r="E83" s="16" t="str">
        <x:v>EMP-043</x:v>
      </x:c>
      <x:c r="F83" s="16" t="str">
        <x:v>Kraków Operations Centre</x:v>
      </x:c>
      <x:c r="G83" s="16" t="str">
        <x:v>In service</x:v>
      </x:c>
      <x:c r="H83" s="19" t="n">
        <x:v>45877.5</x:v>
      </x:c>
      <x:c r="I83" s="19" t="n">
        <x:v>46607.5</x:v>
      </x:c>
      <x:c r="J83" s="16" t="str">
        <x:v>Android 13</x:v>
      </x:c>
    </x:row>
    <x:row r="84">
      <x:c r="A84" s="17" t="str">
        <x:v>AST-080</x:v>
      </x:c>
      <x:c r="B84" s="17" t="str">
        <x:v>Windows Laptop</x:v>
      </x:c>
      <x:c r="C84" s="17" t="str">
        <x:v>HP EliteBook 840</x:v>
      </x:c>
      <x:c r="D84" s="17" t="str">
        <x:v>KRK265840</x:v>
      </x:c>
      <x:c r="E84" s="17" t="str">
        <x:v>EMP-041</x:v>
      </x:c>
      <x:c r="F84" s="17" t="str">
        <x:v>Kraków Operations Centre</x:v>
      </x:c>
      <x:c r="G84" s="17" t="str">
        <x:v>In service</x:v>
      </x:c>
      <x:c r="H84" s="20" t="n">
        <x:v>44448.5</x:v>
      </x:c>
      <x:c r="I84" s="20" t="n">
        <x:v>45544.5</x:v>
      </x:c>
      <x:c r="J84" s="17" t="str">
        <x:v>Windows 11 Enterprise</x:v>
      </x:c>
    </x:row>
  </x:sheetData>
  <x:mergeCells>
    <x:mergeCell ref="A1:J1"/>
    <x:mergeCell ref="A2:J2"/>
  </x:mergeCells>
  <x:pageMargins left="0.7" right="0.7" top="0.75" bottom="0.75" header="0.3" footer="0.3"/>
  <x:tableParts count="1">
    <x:tablePart xmlns:r="http://schemas.openxmlformats.org/officeDocument/2006/relationships" r:id="R2d9776636726409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1" hidden="0" customWidth="1"/>
    <x:col min="2" max="2" width="17.329999923706055" hidden="0" customWidth="1"/>
    <x:col min="3" max="3" width="16.440000534057617" hidden="0" customWidth="1"/>
    <x:col min="4" max="4" width="11" hidden="0" customWidth="1"/>
    <x:col min="5" max="5" width="11" hidden="0" customWidth="1"/>
    <x:col min="6" max="6" width="13.890000343322754" hidden="0" customWidth="1"/>
    <x:col min="7" max="7" width="11.109999656677246" hidden="0" customWidth="1"/>
    <x:col min="8" max="8" width="15.779999732971191" hidden="0" customWidth="1"/>
    <x:col min="9" max="9" width="11" hidden="0" customWidth="1"/>
    <x:col min="10" max="10" width="12.4399995803833" hidden="0" customWidth="1"/>
  </x:cols>
  <x:sheetData>
    <x:row r="1" ht="30" customHeight="1">
      <x:c r="A1" s="3" t="str">
        <x:v>KRkRice IT Systems</x:v>
      </x:c>
      <x:c r="B1" s="3"/>
      <x:c r="C1" s="3"/>
      <x:c r="D1" s="3"/>
      <x:c r="E1" s="3"/>
      <x:c r="F1" s="3"/>
      <x:c r="G1" s="3"/>
      <x:c r="H1" s="3"/>
      <x:c r="I1" s="3"/>
      <x:c r="J1" s="3"/>
    </x:row>
    <x:row r="2" ht="24" customHeight="1">
      <x:c r="A2" s="6" t="str">
        <x:v>20 applications and infrastructure services used in the fictional rice-export business.</x:v>
      </x:c>
      <x:c r="B2" s="6"/>
      <x:c r="C2" s="6"/>
      <x:c r="D2" s="6"/>
      <x:c r="E2" s="6"/>
      <x:c r="F2" s="6"/>
      <x:c r="G2" s="6"/>
      <x:c r="H2" s="6"/>
      <x:c r="I2" s="6"/>
      <x:c r="J2" s="6"/>
    </x:row>
    <x:row r="4" ht="24" customHeight="1">
      <x:c r="A4" s="10" t="str">
        <x:v>system_id</x:v>
      </x:c>
      <x:c r="B4" s="10" t="str">
        <x:v>system_name</x:v>
      </x:c>
      <x:c r="C4" s="10" t="str">
        <x:v>category</x:v>
      </x:c>
      <x:c r="D4" s="10" t="str">
        <x:v>hosting_model</x:v>
      </x:c>
      <x:c r="E4" s="10" t="str">
        <x:v>criticality</x:v>
      </x:c>
      <x:c r="F4" s="10" t="str">
        <x:v>business_owner</x:v>
      </x:c>
      <x:c r="G4" s="10" t="str">
        <x:v>vendor</x:v>
      </x:c>
      <x:c r="H4" s="10" t="str">
        <x:v>authentication</x:v>
      </x:c>
      <x:c r="I4" s="10" t="str">
        <x:v>availability_target</x:v>
      </x:c>
      <x:c r="J4" s="10" t="str">
        <x:v>support_owner</x:v>
      </x:c>
    </x:row>
    <x:row r="5">
      <x:c r="A5" s="15" t="str">
        <x:v>SYS-001</x:v>
      </x:c>
      <x:c r="B5" s="15" t="str">
        <x:v>Microsoft 365</x:v>
      </x:c>
      <x:c r="C5" s="15" t="str">
        <x:v>Productivity</x:v>
      </x:c>
      <x:c r="D5" s="15" t="str">
        <x:v>SaaS</x:v>
      </x:c>
      <x:c r="E5" s="15" t="str">
        <x:v>Critical</x:v>
      </x:c>
      <x:c r="F5" s="15" t="str">
        <x:v>IT</x:v>
      </x:c>
      <x:c r="G5" s="15" t="str">
        <x:v>Microsoft</x:v>
      </x:c>
      <x:c r="H5" s="15" t="str">
        <x:v>SSO + MFA</x:v>
      </x:c>
      <x:c r="I5" s="15" t="str">
        <x:v>99.9%</x:v>
      </x:c>
      <x:c r="J5" s="15" t="str">
        <x:v>Aisha Rahman</x:v>
      </x:c>
    </x:row>
    <x:row r="6">
      <x:c r="A6" s="16" t="str">
        <x:v>SYS-002</x:v>
      </x:c>
      <x:c r="B6" s="16" t="str">
        <x:v>RiceFlow ERP</x:v>
      </x:c>
      <x:c r="C6" s="16" t="str">
        <x:v>ERP</x:v>
      </x:c>
      <x:c r="D6" s="16" t="str">
        <x:v>SaaS</x:v>
      </x:c>
      <x:c r="E6" s="16" t="str">
        <x:v>Critical</x:v>
      </x:c>
      <x:c r="F6" s="16" t="str">
        <x:v>Finance</x:v>
      </x:c>
      <x:c r="G6" s="16" t="str">
        <x:v>Fictional vendor</x:v>
      </x:c>
      <x:c r="H6" s="16" t="str">
        <x:v>SSO + MFA</x:v>
      </x:c>
      <x:c r="I6" s="16" t="str">
        <x:v>99.9%</x:v>
      </x:c>
      <x:c r="J6" s="16" t="str">
        <x:v>Aisha Rahman</x:v>
      </x:c>
    </x:row>
    <x:row r="7">
      <x:c r="A7" s="16" t="str">
        <x:v>SYS-003</x:v>
      </x:c>
      <x:c r="B7" s="16" t="str">
        <x:v>GrainTrack WMS</x:v>
      </x:c>
      <x:c r="C7" s="16" t="str">
        <x:v>Warehouse</x:v>
      </x:c>
      <x:c r="D7" s="16" t="str">
        <x:v>Cloud</x:v>
      </x:c>
      <x:c r="E7" s="16" t="str">
        <x:v>Critical</x:v>
      </x:c>
      <x:c r="F7" s="16" t="str">
        <x:v>Warehouse</x:v>
      </x:c>
      <x:c r="G7" s="16" t="str">
        <x:v>Fictional vendor</x:v>
      </x:c>
      <x:c r="H7" s="16" t="str">
        <x:v>SSO</x:v>
      </x:c>
      <x:c r="I7" s="16" t="str">
        <x:v>99.9%</x:v>
      </x:c>
      <x:c r="J7" s="16" t="str">
        <x:v>Aisha Rahman</x:v>
      </x:c>
    </x:row>
    <x:row r="8">
      <x:c r="A8" s="16" t="str">
        <x:v>SYS-004</x:v>
      </x:c>
      <x:c r="B8" s="16" t="str">
        <x:v>ExportHub CRM</x:v>
      </x:c>
      <x:c r="C8" s="16" t="str">
        <x:v>CRM</x:v>
      </x:c>
      <x:c r="D8" s="16" t="str">
        <x:v>SaaS</x:v>
      </x:c>
      <x:c r="E8" s="16" t="str">
        <x:v>High</x:v>
      </x:c>
      <x:c r="F8" s="16" t="str">
        <x:v>Export Sales</x:v>
      </x:c>
      <x:c r="G8" s="16" t="str">
        <x:v>Fictional vendor</x:v>
      </x:c>
      <x:c r="H8" s="16" t="str">
        <x:v>SSO</x:v>
      </x:c>
      <x:c r="I8" s="16" t="str">
        <x:v>99.5%</x:v>
      </x:c>
      <x:c r="J8" s="16" t="str">
        <x:v>Aisha Rahman</x:v>
      </x:c>
    </x:row>
    <x:row r="9">
      <x:c r="A9" s="16" t="str">
        <x:v>SYS-005</x:v>
      </x:c>
      <x:c r="B9" s="16" t="str">
        <x:v>CertiRice</x:v>
      </x:c>
      <x:c r="C9" s="16" t="str">
        <x:v>Quality</x:v>
      </x:c>
      <x:c r="D9" s="16" t="str">
        <x:v>Web app</x:v>
      </x:c>
      <x:c r="E9" s="16" t="str">
        <x:v>High</x:v>
      </x:c>
      <x:c r="F9" s="16" t="str">
        <x:v>Quality Control</x:v>
      </x:c>
      <x:c r="G9" s="16" t="str">
        <x:v>Fictional vendor</x:v>
      </x:c>
      <x:c r="H9" s="16" t="str">
        <x:v>SSO</x:v>
      </x:c>
      <x:c r="I9" s="16" t="str">
        <x:v>99.5%</x:v>
      </x:c>
      <x:c r="J9" s="16" t="str">
        <x:v>Aisha Rahman</x:v>
      </x:c>
    </x:row>
    <x:row r="10">
      <x:c r="A10" s="16" t="str">
        <x:v>SYS-006</x:v>
      </x:c>
      <x:c r="B10" s="16" t="str">
        <x:v>ShipLink</x:v>
      </x:c>
      <x:c r="C10" s="16" t="str">
        <x:v>Logistics</x:v>
      </x:c>
      <x:c r="D10" s="16" t="str">
        <x:v>SaaS</x:v>
      </x:c>
      <x:c r="E10" s="16" t="str">
        <x:v>High</x:v>
      </x:c>
      <x:c r="F10" s="16" t="str">
        <x:v>Logistics</x:v>
      </x:c>
      <x:c r="G10" s="16" t="str">
        <x:v>Fictional vendor</x:v>
      </x:c>
      <x:c r="H10" s="16" t="str">
        <x:v>Username + MFA</x:v>
      </x:c>
      <x:c r="I10" s="16" t="str">
        <x:v>99.5%</x:v>
      </x:c>
      <x:c r="J10" s="16" t="str">
        <x:v>Aisha Rahman</x:v>
      </x:c>
    </x:row>
    <x:row r="11">
      <x:c r="A11" s="16" t="str">
        <x:v>SYS-007</x:v>
      </x:c>
      <x:c r="B11" s="16" t="str">
        <x:v>FortiClient VPN</x:v>
      </x:c>
      <x:c r="C11" s="16" t="str">
        <x:v>Network</x:v>
      </x:c>
      <x:c r="D11" s="16" t="str">
        <x:v>Hybrid</x:v>
      </x:c>
      <x:c r="E11" s="16" t="str">
        <x:v>Critical</x:v>
      </x:c>
      <x:c r="F11" s="16" t="str">
        <x:v>IT</x:v>
      </x:c>
      <x:c r="G11" s="16" t="str">
        <x:v>Fortinet</x:v>
      </x:c>
      <x:c r="H11" s="16" t="str">
        <x:v>SSO + MFA</x:v>
      </x:c>
      <x:c r="I11" s="16" t="str">
        <x:v>99.9%</x:v>
      </x:c>
      <x:c r="J11" s="16" t="str">
        <x:v>Mateusz Kowalski</x:v>
      </x:c>
    </x:row>
    <x:row r="12">
      <x:c r="A12" s="16" t="str">
        <x:v>SYS-008</x:v>
      </x:c>
      <x:c r="B12" s="16" t="str">
        <x:v>Entra ID</x:v>
      </x:c>
      <x:c r="C12" s="16" t="str">
        <x:v>Identity</x:v>
      </x:c>
      <x:c r="D12" s="16" t="str">
        <x:v>SaaS</x:v>
      </x:c>
      <x:c r="E12" s="16" t="str">
        <x:v>Critical</x:v>
      </x:c>
      <x:c r="F12" s="16" t="str">
        <x:v>IT</x:v>
      </x:c>
      <x:c r="G12" s="16" t="str">
        <x:v>Microsoft</x:v>
      </x:c>
      <x:c r="H12" s="16" t="str">
        <x:v>MFA</x:v>
      </x:c>
      <x:c r="I12" s="16" t="str">
        <x:v>99.99%</x:v>
      </x:c>
      <x:c r="J12" s="16" t="str">
        <x:v>Sofia Alvarez</x:v>
      </x:c>
    </x:row>
    <x:row r="13">
      <x:c r="A13" s="16" t="str">
        <x:v>SYS-009</x:v>
      </x:c>
      <x:c r="B13" s="16" t="str">
        <x:v>Jira Service Management</x:v>
      </x:c>
      <x:c r="C13" s="16" t="str">
        <x:v>Helpdesk</x:v>
      </x:c>
      <x:c r="D13" s="16" t="str">
        <x:v>SaaS</x:v>
      </x:c>
      <x:c r="E13" s="16" t="str">
        <x:v>High</x:v>
      </x:c>
      <x:c r="F13" s="16" t="str">
        <x:v>IT</x:v>
      </x:c>
      <x:c r="G13" s="16" t="str">
        <x:v>Atlassian</x:v>
      </x:c>
      <x:c r="H13" s="16" t="str">
        <x:v>SSO</x:v>
      </x:c>
      <x:c r="I13" s="16" t="str">
        <x:v>99.9%</x:v>
      </x:c>
      <x:c r="J13" s="16" t="str">
        <x:v>Sofia Alvarez</x:v>
      </x:c>
    </x:row>
    <x:row r="14">
      <x:c r="A14" s="16" t="str">
        <x:v>SYS-010</x:v>
      </x:c>
      <x:c r="B14" s="16" t="str">
        <x:v>SharePoint Online</x:v>
      </x:c>
      <x:c r="C14" s="16" t="str">
        <x:v>Document Management</x:v>
      </x:c>
      <x:c r="D14" s="16" t="str">
        <x:v>SaaS</x:v>
      </x:c>
      <x:c r="E14" s="16" t="str">
        <x:v>High</x:v>
      </x:c>
      <x:c r="F14" s="16" t="str">
        <x:v>IT</x:v>
      </x:c>
      <x:c r="G14" s="16" t="str">
        <x:v>Microsoft</x:v>
      </x:c>
      <x:c r="H14" s="16" t="str">
        <x:v>SSO + MFA</x:v>
      </x:c>
      <x:c r="I14" s="16" t="str">
        <x:v>99.9%</x:v>
      </x:c>
      <x:c r="J14" s="16" t="str">
        <x:v>Aisha Rahman</x:v>
      </x:c>
    </x:row>
    <x:row r="15">
      <x:c r="A15" s="16" t="str">
        <x:v>SYS-011</x:v>
      </x:c>
      <x:c r="B15" s="16" t="str">
        <x:v>Microsoft Teams</x:v>
      </x:c>
      <x:c r="C15" s="16" t="str">
        <x:v>Collaboration</x:v>
      </x:c>
      <x:c r="D15" s="16" t="str">
        <x:v>SaaS</x:v>
      </x:c>
      <x:c r="E15" s="16" t="str">
        <x:v>High</x:v>
      </x:c>
      <x:c r="F15" s="16" t="str">
        <x:v>IT</x:v>
      </x:c>
      <x:c r="G15" s="16" t="str">
        <x:v>Microsoft</x:v>
      </x:c>
      <x:c r="H15" s="16" t="str">
        <x:v>SSO + MFA</x:v>
      </x:c>
      <x:c r="I15" s="16" t="str">
        <x:v>99.9%</x:v>
      </x:c>
      <x:c r="J15" s="16" t="str">
        <x:v>Liam O'Connor</x:v>
      </x:c>
    </x:row>
    <x:row r="16">
      <x:c r="A16" s="16" t="str">
        <x:v>SYS-012</x:v>
      </x:c>
      <x:c r="B16" s="16" t="str">
        <x:v>Power BI</x:v>
      </x:c>
      <x:c r="C16" s="16" t="str">
        <x:v>Analytics</x:v>
      </x:c>
      <x:c r="D16" s="16" t="str">
        <x:v>SaaS</x:v>
      </x:c>
      <x:c r="E16" s="16" t="str">
        <x:v>Medium</x:v>
      </x:c>
      <x:c r="F16" s="16" t="str">
        <x:v>Finance</x:v>
      </x:c>
      <x:c r="G16" s="16" t="str">
        <x:v>Microsoft</x:v>
      </x:c>
      <x:c r="H16" s="16" t="str">
        <x:v>SSO + MFA</x:v>
      </x:c>
      <x:c r="I16" s="16" t="str">
        <x:v>99.5%</x:v>
      </x:c>
      <x:c r="J16" s="16" t="str">
        <x:v>Aisha Rahman</x:v>
      </x:c>
    </x:row>
    <x:row r="17">
      <x:c r="A17" s="16" t="str">
        <x:v>SYS-013</x:v>
      </x:c>
      <x:c r="B17" s="16" t="str">
        <x:v>Zebra Print Service</x:v>
      </x:c>
      <x:c r="C17" s="16" t="str">
        <x:v>Printing</x:v>
      </x:c>
      <x:c r="D17" s="16" t="str">
        <x:v>On-premises</x:v>
      </x:c>
      <x:c r="E17" s="16" t="str">
        <x:v>High</x:v>
      </x:c>
      <x:c r="F17" s="16" t="str">
        <x:v>Warehouse</x:v>
      </x:c>
      <x:c r="G17" s="16" t="str">
        <x:v>Zebra</x:v>
      </x:c>
      <x:c r="H17" s="16" t="str">
        <x:v>Service account</x:v>
      </x:c>
      <x:c r="I17" s="16" t="str">
        <x:v>99.5%</x:v>
      </x:c>
      <x:c r="J17" s="16" t="str">
        <x:v>Liam O'Connor</x:v>
      </x:c>
    </x:row>
    <x:row r="18">
      <x:c r="A18" s="16" t="str">
        <x:v>SYS-014</x:v>
      </x:c>
      <x:c r="B18" s="16" t="str">
        <x:v>Warehouse Wi-Fi</x:v>
      </x:c>
      <x:c r="C18" s="16" t="str">
        <x:v>Network</x:v>
      </x:c>
      <x:c r="D18" s="16" t="str">
        <x:v>On-premises</x:v>
      </x:c>
      <x:c r="E18" s="16" t="str">
        <x:v>Critical</x:v>
      </x:c>
      <x:c r="F18" s="16" t="str">
        <x:v>IT</x:v>
      </x:c>
      <x:c r="G18" s="16" t="str">
        <x:v>Cisco</x:v>
      </x:c>
      <x:c r="H18" s="16" t="str">
        <x:v>Certificate</x:v>
      </x:c>
      <x:c r="I18" s="16" t="str">
        <x:v>99.9%</x:v>
      </x:c>
      <x:c r="J18" s="16" t="str">
        <x:v>Mateusz Kowalski</x:v>
      </x:c>
    </x:row>
    <x:row r="19">
      <x:c r="A19" s="16" t="str">
        <x:v>SYS-015</x:v>
      </x:c>
      <x:c r="B19" s="16" t="str">
        <x:v>Endpoint Manager</x:v>
      </x:c>
      <x:c r="C19" s="16" t="str">
        <x:v>Device Management</x:v>
      </x:c>
      <x:c r="D19" s="16" t="str">
        <x:v>SaaS</x:v>
      </x:c>
      <x:c r="E19" s="16" t="str">
        <x:v>High</x:v>
      </x:c>
      <x:c r="F19" s="16" t="str">
        <x:v>IT</x:v>
      </x:c>
      <x:c r="G19" s="16" t="str">
        <x:v>Microsoft</x:v>
      </x:c>
      <x:c r="H19" s="16" t="str">
        <x:v>SSO + MFA</x:v>
      </x:c>
      <x:c r="I19" s="16" t="str">
        <x:v>99.9%</x:v>
      </x:c>
      <x:c r="J19" s="16" t="str">
        <x:v>Liam O'Connor</x:v>
      </x:c>
    </x:row>
    <x:row r="20">
      <x:c r="A20" s="16" t="str">
        <x:v>SYS-016</x:v>
      </x:c>
      <x:c r="B20" s="16" t="str">
        <x:v>CrowdStrike Endpoint</x:v>
      </x:c>
      <x:c r="C20" s="16" t="str">
        <x:v>Security</x:v>
      </x:c>
      <x:c r="D20" s="16" t="str">
        <x:v>SaaS</x:v>
      </x:c>
      <x:c r="E20" s="16" t="str">
        <x:v>Critical</x:v>
      </x:c>
      <x:c r="F20" s="16" t="str">
        <x:v>IT</x:v>
      </x:c>
      <x:c r="G20" s="16" t="str">
        <x:v>CrowdStrike</x:v>
      </x:c>
      <x:c r="H20" s="16" t="str">
        <x:v>SSO + MFA</x:v>
      </x:c>
      <x:c r="I20" s="16" t="str">
        <x:v>99.9%</x:v>
      </x:c>
      <x:c r="J20" s="16" t="str">
        <x:v>Yuki Tanaka</x:v>
      </x:c>
    </x:row>
    <x:row r="21">
      <x:c r="A21" s="16" t="str">
        <x:v>SYS-017</x:v>
      </x:c>
      <x:c r="B21" s="16" t="str">
        <x:v>DocuSign</x:v>
      </x:c>
      <x:c r="C21" s="16" t="str">
        <x:v>Electronic Signature</x:v>
      </x:c>
      <x:c r="D21" s="16" t="str">
        <x:v>SaaS</x:v>
      </x:c>
      <x:c r="E21" s="16" t="str">
        <x:v>Medium</x:v>
      </x:c>
      <x:c r="F21" s="16" t="str">
        <x:v>HR &amp; Administration</x:v>
      </x:c>
      <x:c r="G21" s="16" t="str">
        <x:v>DocuSign</x:v>
      </x:c>
      <x:c r="H21" s="16" t="str">
        <x:v>SSO + MFA</x:v>
      </x:c>
      <x:c r="I21" s="16" t="str">
        <x:v>99.5%</x:v>
      </x:c>
      <x:c r="J21" s="16" t="str">
        <x:v>Aisha Rahman</x:v>
      </x:c>
    </x:row>
    <x:row r="22">
      <x:c r="A22" s="16" t="str">
        <x:v>SYS-018</x:v>
      </x:c>
      <x:c r="B22" s="16" t="str">
        <x:v>HR People Portal</x:v>
      </x:c>
      <x:c r="C22" s="16" t="str">
        <x:v>HRIS</x:v>
      </x:c>
      <x:c r="D22" s="16" t="str">
        <x:v>SaaS</x:v>
      </x:c>
      <x:c r="E22" s="16" t="str">
        <x:v>High</x:v>
      </x:c>
      <x:c r="F22" s="16" t="str">
        <x:v>HR &amp; Administration</x:v>
      </x:c>
      <x:c r="G22" s="16" t="str">
        <x:v>Fictional vendor</x:v>
      </x:c>
      <x:c r="H22" s="16" t="str">
        <x:v>SSO + MFA</x:v>
      </x:c>
      <x:c r="I22" s="16" t="str">
        <x:v>99.5%</x:v>
      </x:c>
      <x:c r="J22" s="16" t="str">
        <x:v>Aisha Rahman</x:v>
      </x:c>
    </x:row>
    <x:row r="23">
      <x:c r="A23" s="16" t="str">
        <x:v>SYS-019</x:v>
      </x:c>
      <x:c r="B23" s="16" t="str">
        <x:v>Finance Banking Portal</x:v>
      </x:c>
      <x:c r="C23" s="16" t="str">
        <x:v>Finance</x:v>
      </x:c>
      <x:c r="D23" s="16" t="str">
        <x:v>SaaS</x:v>
      </x:c>
      <x:c r="E23" s="16" t="str">
        <x:v>Critical</x:v>
      </x:c>
      <x:c r="F23" s="16" t="str">
        <x:v>Finance</x:v>
      </x:c>
      <x:c r="G23" s="16" t="str">
        <x:v>Synthetic Bank</x:v>
      </x:c>
      <x:c r="H23" s="16" t="str">
        <x:v>Hardware token + MFA</x:v>
      </x:c>
      <x:c r="I23" s="16" t="str">
        <x:v>99.9%</x:v>
      </x:c>
      <x:c r="J23" s="16" t="str">
        <x:v>Yuki Tanaka</x:v>
      </x:c>
    </x:row>
    <x:row r="24">
      <x:c r="A24" s="17" t="str">
        <x:v>SYS-020</x:v>
      </x:c>
      <x:c r="B24" s="17" t="str">
        <x:v>KRkRice Status Page</x:v>
      </x:c>
      <x:c r="C24" s="17" t="str">
        <x:v>Monitoring</x:v>
      </x:c>
      <x:c r="D24" s="17" t="str">
        <x:v>SaaS</x:v>
      </x:c>
      <x:c r="E24" s="17" t="str">
        <x:v>High</x:v>
      </x:c>
      <x:c r="F24" s="17" t="str">
        <x:v>IT</x:v>
      </x:c>
      <x:c r="G24" s="17" t="str">
        <x:v>Fictional vendor</x:v>
      </x:c>
      <x:c r="H24" s="17" t="str">
        <x:v>SSO</x:v>
      </x:c>
      <x:c r="I24" s="17" t="str">
        <x:v>99.9%</x:v>
      </x:c>
      <x:c r="J24" s="17" t="str">
        <x:v>Mateusz Kowalski</x:v>
      </x:c>
    </x:row>
  </x:sheetData>
  <x:mergeCells>
    <x:mergeCell ref="A1:J1"/>
    <x:mergeCell ref="A2:J2"/>
  </x:mergeCells>
  <x:pageMargins left="0.7" right="0.7" top="0.75" bottom="0.75" header="0.3" footer="0.3"/>
  <x:tableParts count="1">
    <x:tablePart xmlns:r="http://schemas.openxmlformats.org/officeDocument/2006/relationships" r:id="R287a06d10af940d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1" hidden="0" customWidth="1"/>
    <x:col min="2" max="2" width="12.4399995803833" hidden="0" customWidth="1"/>
    <x:col min="3" max="3" width="22" hidden="0" customWidth="1"/>
    <x:col min="4" max="4" width="15.109999656677246" hidden="0" customWidth="1"/>
    <x:col min="5" max="5" width="11" hidden="0" customWidth="1"/>
    <x:col min="6" max="6" width="11" hidden="0" customWidth="1"/>
    <x:col min="7" max="7" width="12.5600004196167" hidden="0" customWidth="1"/>
    <x:col min="8" max="8" width="15.4399995803833" hidden="0" customWidth="1"/>
    <x:col min="9" max="9" width="11" hidden="0" customWidth="1"/>
    <x:col min="10" max="10" width="11" hidden="0" customWidth="1"/>
  </x:cols>
  <x:sheetData>
    <x:row r="1" ht="30" customHeight="1">
      <x:c r="A1" s="3" t="str">
        <x:v>KRkRice Mock Helpdesk Agents</x:v>
      </x:c>
      <x:c r="B1" s="3"/>
      <x:c r="C1" s="3"/>
      <x:c r="D1" s="3"/>
      <x:c r="E1" s="3"/>
      <x:c r="F1" s="3"/>
      <x:c r="G1" s="3"/>
      <x:c r="H1" s="3"/>
      <x:c r="I1" s="3"/>
      <x:c r="J1" s="3"/>
    </x:row>
    <x:row r="2" ht="24" customHeight="1">
      <x:c r="A2" s="6" t="str">
        <x:v>Five routing personas corresponding to the mock Jira profile records SUP-2 through SUP-6.</x:v>
      </x:c>
      <x:c r="B2" s="6"/>
      <x:c r="C2" s="6"/>
      <x:c r="D2" s="6"/>
      <x:c r="E2" s="6"/>
      <x:c r="F2" s="6"/>
      <x:c r="G2" s="6"/>
      <x:c r="H2" s="6"/>
      <x:c r="I2" s="6"/>
      <x:c r="J2" s="6"/>
    </x:row>
    <x:row r="4" ht="24" customHeight="1">
      <x:c r="A4" s="10" t="str">
        <x:v>agent_id</x:v>
      </x:c>
      <x:c r="B4" s="10" t="str">
        <x:v>full_name</x:v>
      </x:c>
      <x:c r="C4" s="10" t="str">
        <x:v>role</x:v>
      </x:c>
      <x:c r="D4" s="10" t="str">
        <x:v>specialty</x:v>
      </x:c>
      <x:c r="E4" s="10" t="str">
        <x:v>support_tier</x:v>
      </x:c>
      <x:c r="F4" s="10" t="str">
        <x:v>location</x:v>
      </x:c>
      <x:c r="G4" s="10" t="str">
        <x:v>languages</x:v>
      </x:c>
      <x:c r="H4" s="10" t="str">
        <x:v>working_hours</x:v>
      </x:c>
      <x:c r="I4" s="10" t="str">
        <x:v>jira_profile_issue</x:v>
      </x:c>
      <x:c r="J4" s="10" t="str">
        <x:v>status</x:v>
      </x:c>
    </x:row>
    <x:row r="5">
      <x:c r="A5" s="15" t="str">
        <x:v>AGT-001</x:v>
      </x:c>
      <x:c r="B5" s="15" t="str">
        <x:v>Sofia Alvarez</x:v>
      </x:c>
      <x:c r="C5" s="15" t="str">
        <x:v>Senior IT Support Specialist</x:v>
      </x:c>
      <x:c r="D5" s="15" t="str">
        <x:v>Identity &amp; Access</x:v>
      </x:c>
      <x:c r="E5" s="15" t="str">
        <x:v>Tier 2</x:v>
      </x:c>
      <x:c r="F5" s="15" t="str">
        <x:v>Madrid</x:v>
      </x:c>
      <x:c r="G5" s="15" t="str">
        <x:v>Spanish, English</x:v>
      </x:c>
      <x:c r="H5" s="15" t="str">
        <x:v>08:00-16:00 CET</x:v>
      </x:c>
      <x:c r="I5" s="15" t="str">
        <x:v>SUP-4</x:v>
      </x:c>
      <x:c r="J5" s="15" t="str">
        <x:v>Active</x:v>
      </x:c>
    </x:row>
    <x:row r="6">
      <x:c r="A6" s="16" t="str">
        <x:v>AGT-002</x:v>
      </x:c>
      <x:c r="B6" s="16" t="str">
        <x:v>Liam O'Connor</x:v>
      </x:c>
      <x:c r="C6" s="16" t="str">
        <x:v>Workplace Technology Specialist</x:v>
      </x:c>
      <x:c r="D6" s="16" t="str">
        <x:v>Hardware &amp; Devices</x:v>
      </x:c>
      <x:c r="E6" s="16" t="str">
        <x:v>Tier 1</x:v>
      </x:c>
      <x:c r="F6" s="16" t="str">
        <x:v>Dublin</x:v>
      </x:c>
      <x:c r="G6" s="16" t="str">
        <x:v>English</x:v>
      </x:c>
      <x:c r="H6" s="16" t="str">
        <x:v>09:00-17:00 GMT/BST</x:v>
      </x:c>
      <x:c r="I6" s="16" t="str">
        <x:v>SUP-2</x:v>
      </x:c>
      <x:c r="J6" s="16" t="str">
        <x:v>Active</x:v>
      </x:c>
    </x:row>
    <x:row r="7">
      <x:c r="A7" s="16" t="str">
        <x:v>AGT-003</x:v>
      </x:c>
      <x:c r="B7" s="16" t="str">
        <x:v>Aisha Rahman</x:v>
      </x:c>
      <x:c r="C7" s="16" t="str">
        <x:v>Business Applications Support Analyst</x:v>
      </x:c>
      <x:c r="D7" s="16" t="str">
        <x:v>Business Applications</x:v>
      </x:c>
      <x:c r="E7" s="16" t="str">
        <x:v>Tier 2</x:v>
      </x:c>
      <x:c r="F7" s="16" t="str">
        <x:v>London</x:v>
      </x:c>
      <x:c r="G7" s="16" t="str">
        <x:v>English, Bengali</x:v>
      </x:c>
      <x:c r="H7" s="16" t="str">
        <x:v>09:00-17:00 GMT/BST</x:v>
      </x:c>
      <x:c r="I7" s="16" t="str">
        <x:v>SUP-3</x:v>
      </x:c>
      <x:c r="J7" s="16" t="str">
        <x:v>Active</x:v>
      </x:c>
    </x:row>
    <x:row r="8">
      <x:c r="A8" s="16" t="str">
        <x:v>AGT-004</x:v>
      </x:c>
      <x:c r="B8" s="16" t="str">
        <x:v>Mateusz Kowalski</x:v>
      </x:c>
      <x:c r="C8" s="16" t="str">
        <x:v>Network and Cloud Support Engineer</x:v>
      </x:c>
      <x:c r="D8" s="16" t="str">
        <x:v>Network &amp; Cloud</x:v>
      </x:c>
      <x:c r="E8" s="16" t="str">
        <x:v>Tier 3</x:v>
      </x:c>
      <x:c r="F8" s="16" t="str">
        <x:v>Warsaw</x:v>
      </x:c>
      <x:c r="G8" s="16" t="str">
        <x:v>Polish, English</x:v>
      </x:c>
      <x:c r="H8" s="16" t="str">
        <x:v>08:00-16:00 CET</x:v>
      </x:c>
      <x:c r="I8" s="16" t="str">
        <x:v>SUP-6</x:v>
      </x:c>
      <x:c r="J8" s="16" t="str">
        <x:v>Active</x:v>
      </x:c>
    </x:row>
    <x:row r="9">
      <x:c r="A9" s="17" t="str">
        <x:v>AGT-005</x:v>
      </x:c>
      <x:c r="B9" s="17" t="str">
        <x:v>Yuki Tanaka</x:v>
      </x:c>
      <x:c r="C9" s="17" t="str">
        <x:v>Security Support Analyst</x:v>
      </x:c>
      <x:c r="D9" s="17" t="str">
        <x:v>Security</x:v>
      </x:c>
      <x:c r="E9" s="17" t="str">
        <x:v>Security</x:v>
      </x:c>
      <x:c r="F9" s="17" t="str">
        <x:v>Tokyo</x:v>
      </x:c>
      <x:c r="G9" s="17" t="str">
        <x:v>Japanese, English</x:v>
      </x:c>
      <x:c r="H9" s="17" t="str">
        <x:v>09:00-17:00 JST</x:v>
      </x:c>
      <x:c r="I9" s="17" t="str">
        <x:v>SUP-5</x:v>
      </x:c>
      <x:c r="J9" s="17" t="str">
        <x:v>Active</x:v>
      </x:c>
    </x:row>
  </x:sheetData>
  <x:mergeCells>
    <x:mergeCell ref="A1:J1"/>
    <x:mergeCell ref="A2:J2"/>
  </x:mergeCells>
  <x:pageMargins left="0.7" right="0.7" top="0.75" bottom="0.75" header="0.3" footer="0.3"/>
  <x:tableParts count="1">
    <x:tablePart xmlns:r="http://schemas.openxmlformats.org/officeDocument/2006/relationships" r:id="Rb73103c85cc84a9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1" hidden="0" customWidth="1"/>
    <x:col min="2" max="2" width="32.11000061035156" hidden="0" customWidth="1"/>
    <x:col min="3" max="3" width="15.109999656677246" hidden="0" customWidth="1"/>
    <x:col min="4" max="4" width="11" hidden="0" customWidth="1"/>
    <x:col min="5" max="5" width="11" hidden="0" customWidth="1"/>
    <x:col min="6" max="6" width="11" hidden="0" customWidth="1"/>
    <x:col min="7" max="7" width="12.4399995803833" hidden="0" customWidth="1"/>
    <x:col min="8" max="8" width="34" hidden="0" customWidth="1"/>
    <x:col min="9" max="9" width="22" hidden="0" customWidth="1"/>
  </x:cols>
  <x:sheetData>
    <x:row r="1" ht="30" customHeight="1">
      <x:c r="A1" s="3" t="str">
        <x:v>KRkRice Synthetic Knowledge Base</x:v>
      </x:c>
      <x:c r="B1" s="3"/>
      <x:c r="C1" s="3"/>
      <x:c r="D1" s="3"/>
      <x:c r="E1" s="3"/>
      <x:c r="F1" s="3"/>
      <x:c r="G1" s="3"/>
      <x:c r="H1" s="3"/>
      <x:c r="I1" s="3"/>
    </x:row>
    <x:row r="2" ht="24" customHeight="1">
      <x:c r="A2" s="6" t="str">
        <x:v>25 approved troubleshooting and service-request articles for retrieval-augmented responses.</x:v>
      </x:c>
      <x:c r="B2" s="6"/>
      <x:c r="C2" s="6"/>
      <x:c r="D2" s="6"/>
      <x:c r="E2" s="6"/>
      <x:c r="F2" s="6"/>
      <x:c r="G2" s="6"/>
      <x:c r="H2" s="6"/>
      <x:c r="I2" s="6"/>
    </x:row>
    <x:row r="4" ht="24" customHeight="1">
      <x:c r="A4" s="10" t="str">
        <x:v>article_id</x:v>
      </x:c>
      <x:c r="B4" s="10" t="str">
        <x:v>title</x:v>
      </x:c>
      <x:c r="C4" s="10" t="str">
        <x:v>category</x:v>
      </x:c>
      <x:c r="D4" s="10" t="str">
        <x:v>system_id</x:v>
      </x:c>
      <x:c r="E4" s="10" t="str">
        <x:v>status</x:v>
      </x:c>
      <x:c r="F4" s="10" t="str">
        <x:v>last_reviewed</x:v>
      </x:c>
      <x:c r="G4" s="10" t="str">
        <x:v>owner</x:v>
      </x:c>
      <x:c r="H4" s="10" t="str">
        <x:v>resolution_summary</x:v>
      </x:c>
      <x:c r="I4" s="10" t="str">
        <x:v>tags</x:v>
      </x:c>
    </x:row>
    <x:row r="5">
      <x:c r="A5" s="15" t="str">
        <x:v>KB-001</x:v>
      </x:c>
      <x:c r="B5" s="15" t="str">
        <x:v>Reset an expired password</x:v>
      </x:c>
      <x:c r="C5" s="15" t="str">
        <x:v>Identity &amp; Access</x:v>
      </x:c>
      <x:c r="D5" s="15" t="str">
        <x:v>SYS-008</x:v>
      </x:c>
      <x:c r="E5" s="15" t="str">
        <x:v>Published</x:v>
      </x:c>
      <x:c r="F5" s="18" t="n">
        <x:v>46203.5</x:v>
      </x:c>
      <x:c r="G5" s="15" t="str">
        <x:v>Sofia Alvarez</x:v>
      </x:c>
      <x:c r="H5" s="15" t="str">
        <x:v>Verify identity; use self-service reset; sign out and in; never share passwords.</x:v>
      </x:c>
      <x:c r="I5" s="15" t="str">
        <x:v>password|vpn|hardware|application|security|identity-&amp;-access</x:v>
      </x:c>
    </x:row>
    <x:row r="6">
      <x:c r="A6" s="16" t="str">
        <x:v>KB-002</x:v>
      </x:c>
      <x:c r="B6" s="16" t="str">
        <x:v>Refresh VPN credentials after password change</x:v>
      </x:c>
      <x:c r="C6" s="16" t="str">
        <x:v>Network &amp; VPN</x:v>
      </x:c>
      <x:c r="D6" s="16" t="str">
        <x:v>SYS-007</x:v>
      </x:c>
      <x:c r="E6" s="16" t="str">
        <x:v>Published</x:v>
      </x:c>
      <x:c r="F6" s="19" t="n">
        <x:v>46203.5</x:v>
      </x:c>
      <x:c r="G6" s="16" t="str">
        <x:v>Mateusz Kowalski</x:v>
      </x:c>
      <x:c r="H6" s="16" t="str">
        <x:v>Disconnect VPN; remove cached credentials; sign in with the new password; escalate lockouts.</x:v>
      </x:c>
      <x:c r="I6" s="16" t="str">
        <x:v>password|vpn|hardware|application|security|network-&amp;-vpn</x:v>
      </x:c>
    </x:row>
    <x:row r="7">
      <x:c r="A7" s="16" t="str">
        <x:v>KB-003</x:v>
      </x:c>
      <x:c r="B7" s="16" t="str">
        <x:v>Enroll a replacement MFA device</x:v>
      </x:c>
      <x:c r="C7" s="16" t="str">
        <x:v>Identity &amp; Access</x:v>
      </x:c>
      <x:c r="D7" s="16" t="str">
        <x:v>SYS-008</x:v>
      </x:c>
      <x:c r="E7" s="16" t="str">
        <x:v>Published</x:v>
      </x:c>
      <x:c r="F7" s="19" t="n">
        <x:v>46203.5</x:v>
      </x:c>
      <x:c r="G7" s="16" t="str">
        <x:v>Sofia Alvarez</x:v>
      </x:c>
      <x:c r="H7" s="16" t="str">
        <x:v>Verify identity using an approved method; revoke old device; enroll replacement; confirm sign-in.</x:v>
      </x:c>
      <x:c r="I7" s="16" t="str">
        <x:v>password|vpn|hardware|application|security|identity-&amp;-access</x:v>
      </x:c>
    </x:row>
    <x:row r="8">
      <x:c r="A8" s="16" t="str">
        <x:v>KB-004</x:v>
      </x:c>
      <x:c r="B8" s="16" t="str">
        <x:v>Unlock a user account</x:v>
      </x:c>
      <x:c r="C8" s="16" t="str">
        <x:v>Identity &amp; Access</x:v>
      </x:c>
      <x:c r="D8" s="16" t="str">
        <x:v>SYS-008</x:v>
      </x:c>
      <x:c r="E8" s="16" t="str">
        <x:v>Published</x:v>
      </x:c>
      <x:c r="F8" s="19" t="n">
        <x:v>46203.5</x:v>
      </x:c>
      <x:c r="G8" s="16" t="str">
        <x:v>Sofia Alvarez</x:v>
      </x:c>
      <x:c r="H8" s="16" t="str">
        <x:v>Check lockout source; verify identity; unlock; require password reset if compromise is suspected.</x:v>
      </x:c>
      <x:c r="I8" s="16" t="str">
        <x:v>password|vpn|hardware|application|security|identity-&amp;-access</x:v>
      </x:c>
    </x:row>
    <x:row r="9">
      <x:c r="A9" s="16" t="str">
        <x:v>KB-005</x:v>
      </x:c>
      <x:c r="B9" s="16" t="str">
        <x:v>Connect to warehouse Wi-Fi</x:v>
      </x:c>
      <x:c r="C9" s="16" t="str">
        <x:v>Network &amp; VPN</x:v>
      </x:c>
      <x:c r="D9" s="16" t="str">
        <x:v>SYS-014</x:v>
      </x:c>
      <x:c r="E9" s="16" t="str">
        <x:v>Published</x:v>
      </x:c>
      <x:c r="F9" s="19" t="n">
        <x:v>46203.5</x:v>
      </x:c>
      <x:c r="G9" s="16" t="str">
        <x:v>Mateusz Kowalski</x:v>
      </x:c>
      <x:c r="H9" s="16" t="str">
        <x:v>Confirm managed device; renew certificate; forget and reconnect; check access-point health.</x:v>
      </x:c>
      <x:c r="I9" s="16" t="str">
        <x:v>password|vpn|hardware|application|security|network-&amp;-vpn</x:v>
      </x:c>
    </x:row>
    <x:row r="10">
      <x:c r="A10" s="16" t="str">
        <x:v>KB-006</x:v>
      </x:c>
      <x:c r="B10" s="16" t="str">
        <x:v>Troubleshoot slow office Wi-Fi</x:v>
      </x:c>
      <x:c r="C10" s="16" t="str">
        <x:v>Network &amp; VPN</x:v>
      </x:c>
      <x:c r="D10" s="16" t="str">
        <x:v>SYS-014</x:v>
      </x:c>
      <x:c r="E10" s="16" t="str">
        <x:v>Published</x:v>
      </x:c>
      <x:c r="F10" s="19" t="n">
        <x:v>46203.5</x:v>
      </x:c>
      <x:c r="G10" s="16" t="str">
        <x:v>Mateusz Kowalski</x:v>
      </x:c>
      <x:c r="H10" s="16" t="str">
        <x:v>Check outage dashboard; capture location and time; test wired connection; escalate widespread impact.</x:v>
      </x:c>
      <x:c r="I10" s="16" t="str">
        <x:v>password|vpn|hardware|application|security|network-&amp;-vpn</x:v>
      </x:c>
    </x:row>
    <x:row r="11">
      <x:c r="A11" s="16" t="str">
        <x:v>KB-007</x:v>
      </x:c>
      <x:c r="B11" s="16" t="str">
        <x:v>Replace a damaged laptop</x:v>
      </x:c>
      <x:c r="C11" s="16" t="str">
        <x:v>Hardware</x:v>
      </x:c>
      <x:c r="D11" s="16" t="str">
        <x:v>SYS-015</x:v>
      </x:c>
      <x:c r="E11" s="16" t="str">
        <x:v>Published</x:v>
      </x:c>
      <x:c r="F11" s="19" t="n">
        <x:v>46203.5</x:v>
      </x:c>
      <x:c r="G11" s="16" t="str">
        <x:v>Liam O'Connor</x:v>
      </x:c>
      <x:c r="H11" s="16" t="str">
        <x:v>Record asset ID and damage; back up if safe; obtain approval; issue replacement; update inventory.</x:v>
      </x:c>
      <x:c r="I11" s="16" t="str">
        <x:v>password|vpn|hardware|application|security|hardware</x:v>
      </x:c>
    </x:row>
    <x:row r="12">
      <x:c r="A12" s="16" t="str">
        <x:v>KB-008</x:v>
      </x:c>
      <x:c r="B12" s="16" t="str">
        <x:v>Fix a docking station display issue</x:v>
      </x:c>
      <x:c r="C12" s="16" t="str">
        <x:v>Hardware</x:v>
      </x:c>
      <x:c r="D12" s="16" t="str">
        <x:v>SYS-015</x:v>
      </x:c>
      <x:c r="E12" s="16" t="str">
        <x:v>Published</x:v>
      </x:c>
      <x:c r="F12" s="19" t="n">
        <x:v>46203.5</x:v>
      </x:c>
      <x:c r="G12" s="16" t="str">
        <x:v>Liam O'Connor</x:v>
      </x:c>
      <x:c r="H12" s="16" t="str">
        <x:v>Reseat cables; power-cycle dock; update firmware; test alternate cable and monitor.</x:v>
      </x:c>
      <x:c r="I12" s="16" t="str">
        <x:v>password|vpn|hardware|application|security|hardware</x:v>
      </x:c>
    </x:row>
    <x:row r="13">
      <x:c r="A13" s="16" t="str">
        <x:v>KB-009</x:v>
      </x:c>
      <x:c r="B13" s="16" t="str">
        <x:v>Restore a Zebra label printer</x:v>
      </x:c>
      <x:c r="C13" s="16" t="str">
        <x:v>Hardware</x:v>
      </x:c>
      <x:c r="D13" s="16" t="str">
        <x:v>SYS-013</x:v>
      </x:c>
      <x:c r="E13" s="16" t="str">
        <x:v>Published</x:v>
      </x:c>
      <x:c r="F13" s="19" t="n">
        <x:v>46203.5</x:v>
      </x:c>
      <x:c r="G13" s="16" t="str">
        <x:v>Liam O'Connor</x:v>
      </x:c>
      <x:c r="H13" s="16" t="str">
        <x:v>Check media and queue; restart print service; calibrate; escalate hardware faults.</x:v>
      </x:c>
      <x:c r="I13" s="16" t="str">
        <x:v>password|vpn|hardware|application|security|hardware</x:v>
      </x:c>
    </x:row>
    <x:row r="14">
      <x:c r="A14" s="16" t="str">
        <x:v>KB-010</x:v>
      </x:c>
      <x:c r="B14" s="16" t="str">
        <x:v>Re-enroll a barcode scanner</x:v>
      </x:c>
      <x:c r="C14" s="16" t="str">
        <x:v>Hardware</x:v>
      </x:c>
      <x:c r="D14" s="16" t="str">
        <x:v>SYS-003</x:v>
      </x:c>
      <x:c r="E14" s="16" t="str">
        <x:v>Published</x:v>
      </x:c>
      <x:c r="F14" s="19" t="n">
        <x:v>46203.5</x:v>
      </x:c>
      <x:c r="G14" s="16" t="str">
        <x:v>Liam O'Connor</x:v>
      </x:c>
      <x:c r="H14" s="16" t="str">
        <x:v>Confirm asset ID; connect to managed Wi-Fi; enroll in device manager; sync WMS profile.</x:v>
      </x:c>
      <x:c r="I14" s="16" t="str">
        <x:v>password|vpn|hardware|application|security|hardware</x:v>
      </x:c>
    </x:row>
    <x:row r="15">
      <x:c r="A15" s="16" t="str">
        <x:v>KB-011</x:v>
      </x:c>
      <x:c r="B15" s="16" t="str">
        <x:v>Request RiceFlow ERP access</x:v>
      </x:c>
      <x:c r="C15" s="16" t="str">
        <x:v>Business Applications</x:v>
      </x:c>
      <x:c r="D15" s="16" t="str">
        <x:v>SYS-002</x:v>
      </x:c>
      <x:c r="E15" s="16" t="str">
        <x:v>Published</x:v>
      </x:c>
      <x:c r="F15" s="19" t="n">
        <x:v>46203.5</x:v>
      </x:c>
      <x:c r="G15" s="16" t="str">
        <x:v>Aisha Rahman</x:v>
      </x:c>
      <x:c r="H15" s="16" t="str">
        <x:v>Require manager and data-owner approval; apply least privilege; record approval in ticket.</x:v>
      </x:c>
      <x:c r="I15" s="16" t="str">
        <x:v>password|vpn|hardware|application|security|business-applications</x:v>
      </x:c>
    </x:row>
    <x:row r="16">
      <x:c r="A16" s="16" t="str">
        <x:v>KB-012</x:v>
      </x:c>
      <x:c r="B16" s="16" t="str">
        <x:v>Resolve RiceFlow invoice export errors</x:v>
      </x:c>
      <x:c r="C16" s="16" t="str">
        <x:v>Business Applications</x:v>
      </x:c>
      <x:c r="D16" s="16" t="str">
        <x:v>SYS-002</x:v>
      </x:c>
      <x:c r="E16" s="16" t="str">
        <x:v>Published</x:v>
      </x:c>
      <x:c r="F16" s="19" t="n">
        <x:v>46203.5</x:v>
      </x:c>
      <x:c r="G16" s="16" t="str">
        <x:v>Aisha Rahman</x:v>
      </x:c>
      <x:c r="H16" s="16" t="str">
        <x:v>Validate date and entity; retry export; capture error ID; escalate data-integrity issues.</x:v>
      </x:c>
      <x:c r="I16" s="16" t="str">
        <x:v>password|vpn|hardware|application|security|business-applications</x:v>
      </x:c>
    </x:row>
    <x:row r="17">
      <x:c r="A17" s="16" t="str">
        <x:v>KB-013</x:v>
      </x:c>
      <x:c r="B17" s="16" t="str">
        <x:v>Fix GrainTrack inventory sync</x:v>
      </x:c>
      <x:c r="C17" s="16" t="str">
        <x:v>Business Applications</x:v>
      </x:c>
      <x:c r="D17" s="16" t="str">
        <x:v>SYS-003</x:v>
      </x:c>
      <x:c r="E17" s="16" t="str">
        <x:v>Published</x:v>
      </x:c>
      <x:c r="F17" s="19" t="n">
        <x:v>46203.5</x:v>
      </x:c>
      <x:c r="G17" s="16" t="str">
        <x:v>Aisha Rahman</x:v>
      </x:c>
      <x:c r="H17" s="16" t="str">
        <x:v>Check service status; identify affected warehouse; preserve transaction IDs; avoid manual duplication.</x:v>
      </x:c>
      <x:c r="I17" s="16" t="str">
        <x:v>password|vpn|hardware|application|security|business-applications</x:v>
      </x:c>
    </x:row>
    <x:row r="18">
      <x:c r="A18" s="16" t="str">
        <x:v>KB-014</x:v>
      </x:c>
      <x:c r="B18" s="16" t="str">
        <x:v>Request ExportHub CRM access</x:v>
      </x:c>
      <x:c r="C18" s="16" t="str">
        <x:v>Business Applications</x:v>
      </x:c>
      <x:c r="D18" s="16" t="str">
        <x:v>SYS-004</x:v>
      </x:c>
      <x:c r="E18" s="16" t="str">
        <x:v>Published</x:v>
      </x:c>
      <x:c r="F18" s="19" t="n">
        <x:v>46203.5</x:v>
      </x:c>
      <x:c r="G18" s="16" t="str">
        <x:v>Aisha Rahman</x:v>
      </x:c>
      <x:c r="H18" s="16" t="str">
        <x:v>Obtain manager approval; assign role template; validate customer-data scope; confirm access.</x:v>
      </x:c>
      <x:c r="I18" s="16" t="str">
        <x:v>password|vpn|hardware|application|security|business-applications</x:v>
      </x:c>
    </x:row>
    <x:row r="19">
      <x:c r="A19" s="16" t="str">
        <x:v>KB-015</x:v>
      </x:c>
      <x:c r="B19" s="16" t="str">
        <x:v>Upload a CertiRice certificate</x:v>
      </x:c>
      <x:c r="C19" s="16" t="str">
        <x:v>Business Applications</x:v>
      </x:c>
      <x:c r="D19" s="16" t="str">
        <x:v>SYS-005</x:v>
      </x:c>
      <x:c r="E19" s="16" t="str">
        <x:v>Published</x:v>
      </x:c>
      <x:c r="F19" s="19" t="n">
        <x:v>46203.5</x:v>
      </x:c>
      <x:c r="G19" s="16" t="str">
        <x:v>Aisha Rahman</x:v>
      </x:c>
      <x:c r="H19" s="16" t="str">
        <x:v>Validate file type and shipment ID; check permissions; retry; preserve compliance record.</x:v>
      </x:c>
      <x:c r="I19" s="16" t="str">
        <x:v>password|vpn|hardware|application|security|business-applications</x:v>
      </x:c>
    </x:row>
    <x:row r="20">
      <x:c r="A20" s="16" t="str">
        <x:v>KB-016</x:v>
      </x:c>
      <x:c r="B20" s="16" t="str">
        <x:v>Troubleshoot ShipLink tracking</x:v>
      </x:c>
      <x:c r="C20" s="16" t="str">
        <x:v>Business Applications</x:v>
      </x:c>
      <x:c r="D20" s="16" t="str">
        <x:v>SYS-006</x:v>
      </x:c>
      <x:c r="E20" s="16" t="str">
        <x:v>Published</x:v>
      </x:c>
      <x:c r="F20" s="19" t="n">
        <x:v>46203.5</x:v>
      </x:c>
      <x:c r="G20" s="16" t="str">
        <x:v>Aisha Rahman</x:v>
      </x:c>
      <x:c r="H20" s="16" t="str">
        <x:v>Check carrier status; validate container reference; refresh integration; avoid duplicate bookings.</x:v>
      </x:c>
      <x:c r="I20" s="16" t="str">
        <x:v>password|vpn|hardware|application|security|business-applications</x:v>
      </x:c>
    </x:row>
    <x:row r="21">
      <x:c r="A21" s="16" t="str">
        <x:v>KB-017</x:v>
      </x:c>
      <x:c r="B21" s="16" t="str">
        <x:v>Restore a deleted SharePoint file</x:v>
      </x:c>
      <x:c r="C21" s="16" t="str">
        <x:v>Collaboration</x:v>
      </x:c>
      <x:c r="D21" s="16" t="str">
        <x:v>SYS-010</x:v>
      </x:c>
      <x:c r="E21" s="16" t="str">
        <x:v>Published</x:v>
      </x:c>
      <x:c r="F21" s="19" t="n">
        <x:v>46203.5</x:v>
      </x:c>
      <x:c r="G21" s="16" t="str">
        <x:v>Aisha Rahman</x:v>
      </x:c>
      <x:c r="H21" s="16" t="str">
        <x:v>Check recycle bin and retention; restore correct version; confirm permissions; escalate legal hold.</x:v>
      </x:c>
      <x:c r="I21" s="16" t="str">
        <x:v>password|vpn|hardware|application|security|collaboration</x:v>
      </x:c>
    </x:row>
    <x:row r="22">
      <x:c r="A22" s="16" t="str">
        <x:v>KB-018</x:v>
      </x:c>
      <x:c r="B22" s="16" t="str">
        <x:v>Fix Teams microphone problems</x:v>
      </x:c>
      <x:c r="C22" s="16" t="str">
        <x:v>Collaboration</x:v>
      </x:c>
      <x:c r="D22" s="16" t="str">
        <x:v>SYS-011</x:v>
      </x:c>
      <x:c r="E22" s="16" t="str">
        <x:v>Published</x:v>
      </x:c>
      <x:c r="F22" s="19" t="n">
        <x:v>46203.5</x:v>
      </x:c>
      <x:c r="G22" s="16" t="str">
        <x:v>Liam O'Connor</x:v>
      </x:c>
      <x:c r="H22" s="16" t="str">
        <x:v>Select correct input; check OS permission; test call; update driver; try browser client.</x:v>
      </x:c>
      <x:c r="I22" s="16" t="str">
        <x:v>password|vpn|hardware|application|security|collaboration</x:v>
      </x:c>
    </x:row>
    <x:row r="23">
      <x:c r="A23" s="16" t="str">
        <x:v>KB-019</x:v>
      </x:c>
      <x:c r="B23" s="16" t="str">
        <x:v>Report a phishing message</x:v>
      </x:c>
      <x:c r="C23" s="16" t="str">
        <x:v>Security</x:v>
      </x:c>
      <x:c r="D23" s="16" t="str">
        <x:v>SYS-016</x:v>
      </x:c>
      <x:c r="E23" s="16" t="str">
        <x:v>Published</x:v>
      </x:c>
      <x:c r="F23" s="19" t="n">
        <x:v>46203.5</x:v>
      </x:c>
      <x:c r="G23" s="16" t="str">
        <x:v>Yuki Tanaka</x:v>
      </x:c>
      <x:c r="H23" s="16" t="str">
        <x:v>Do not click; use report-phishing button; preserve message; reset credentials if entered; escalate immediately.</x:v>
      </x:c>
      <x:c r="I23" s="16" t="str">
        <x:v>password|vpn|hardware|application|security|security</x:v>
      </x:c>
    </x:row>
    <x:row r="24">
      <x:c r="A24" s="16" t="str">
        <x:v>KB-020</x:v>
      </x:c>
      <x:c r="B24" s="16" t="str">
        <x:v>Respond to a suspicious login</x:v>
      </x:c>
      <x:c r="C24" s="16" t="str">
        <x:v>Security</x:v>
      </x:c>
      <x:c r="D24" s="16" t="str">
        <x:v>SYS-008</x:v>
      </x:c>
      <x:c r="E24" s="16" t="str">
        <x:v>Published</x:v>
      </x:c>
      <x:c r="F24" s="19" t="n">
        <x:v>46203.5</x:v>
      </x:c>
      <x:c r="G24" s="16" t="str">
        <x:v>Yuki Tanaka</x:v>
      </x:c>
      <x:c r="H24" s="16" t="str">
        <x:v>Revoke sessions; reset password; verify MFA; preserve logs; open security incident.</x:v>
      </x:c>
      <x:c r="I24" s="16" t="str">
        <x:v>password|vpn|hardware|application|security|security</x:v>
      </x:c>
    </x:row>
    <x:row r="25">
      <x:c r="A25" s="16" t="str">
        <x:v>KB-021</x:v>
      </x:c>
      <x:c r="B25" s="16" t="str">
        <x:v>Handle a lost company device</x:v>
      </x:c>
      <x:c r="C25" s="16" t="str">
        <x:v>Security</x:v>
      </x:c>
      <x:c r="D25" s="16" t="str">
        <x:v>SYS-015</x:v>
      </x:c>
      <x:c r="E25" s="16" t="str">
        <x:v>Published</x:v>
      </x:c>
      <x:c r="F25" s="19" t="n">
        <x:v>46203.5</x:v>
      </x:c>
      <x:c r="G25" s="16" t="str">
        <x:v>Yuki Tanaka</x:v>
      </x:c>
      <x:c r="H25" s="16" t="str">
        <x:v>Record asset and last location; remote lock; notify Security and manager; assess data exposure.</x:v>
      </x:c>
      <x:c r="I25" s="16" t="str">
        <x:v>password|vpn|hardware|application|security|security</x:v>
      </x:c>
    </x:row>
    <x:row r="26">
      <x:c r="A26" s="16" t="str">
        <x:v>KB-022</x:v>
      </x:c>
      <x:c r="B26" s="16" t="str">
        <x:v>Request software installation</x:v>
      </x:c>
      <x:c r="C26" s="16" t="str">
        <x:v>Service Request</x:v>
      </x:c>
      <x:c r="D26" s="16" t="str">
        <x:v>SYS-015</x:v>
      </x:c>
      <x:c r="E26" s="16" t="str">
        <x:v>Published</x:v>
      </x:c>
      <x:c r="F26" s="19" t="n">
        <x:v>46203.5</x:v>
      </x:c>
      <x:c r="G26" s="16" t="str">
        <x:v>Liam O'Connor</x:v>
      </x:c>
      <x:c r="H26" s="16" t="str">
        <x:v>Confirm business need and license; verify approved catalog; deploy through Endpoint Manager.</x:v>
      </x:c>
      <x:c r="I26" s="16" t="str">
        <x:v>password|vpn|hardware|application|security|service-request</x:v>
      </x:c>
    </x:row>
    <x:row r="27">
      <x:c r="A27" s="16" t="str">
        <x:v>KB-023</x:v>
      </x:c>
      <x:c r="B27" s="16" t="str">
        <x:v>Onboard a new employee</x:v>
      </x:c>
      <x:c r="C27" s="16" t="str">
        <x:v>Service Request</x:v>
      </x:c>
      <x:c r="D27" s="16" t="str">
        <x:v>SYS-008</x:v>
      </x:c>
      <x:c r="E27" s="16" t="str">
        <x:v>Published</x:v>
      </x:c>
      <x:c r="F27" s="19" t="n">
        <x:v>46203.5</x:v>
      </x:c>
      <x:c r="G27" s="16" t="str">
        <x:v>Sofia Alvarez</x:v>
      </x:c>
      <x:c r="H27" s="16" t="str">
        <x:v>Require HR record and manager; create account; assign baseline access and device; verify MFA.</x:v>
      </x:c>
      <x:c r="I27" s="16" t="str">
        <x:v>password|vpn|hardware|application|security|service-request</x:v>
      </x:c>
    </x:row>
    <x:row r="28">
      <x:c r="A28" s="16" t="str">
        <x:v>KB-024</x:v>
      </x:c>
      <x:c r="B28" s="16" t="str">
        <x:v>Offboard an employee</x:v>
      </x:c>
      <x:c r="C28" s="16" t="str">
        <x:v>Security</x:v>
      </x:c>
      <x:c r="D28" s="16" t="str">
        <x:v>SYS-008</x:v>
      </x:c>
      <x:c r="E28" s="16" t="str">
        <x:v>Published</x:v>
      </x:c>
      <x:c r="F28" s="19" t="n">
        <x:v>46203.5</x:v>
      </x:c>
      <x:c r="G28" s="16" t="str">
        <x:v>Yuki Tanaka</x:v>
      </x:c>
      <x:c r="H28" s="16" t="str">
        <x:v>Confirm HR request; disable access at effective time; revoke sessions; preserve data; recover assets.</x:v>
      </x:c>
      <x:c r="I28" s="16" t="str">
        <x:v>password|vpn|hardware|application|security|security</x:v>
      </x:c>
    </x:row>
    <x:row r="29">
      <x:c r="A29" s="17" t="str">
        <x:v>KB-025</x:v>
      </x:c>
      <x:c r="B29" s="17" t="str">
        <x:v>Declare a major IT incident</x:v>
      </x:c>
      <x:c r="C29" s="17" t="str">
        <x:v>Incident Management</x:v>
      </x:c>
      <x:c r="D29" s="17" t="str">
        <x:v>SYS-020</x:v>
      </x:c>
      <x:c r="E29" s="17" t="str">
        <x:v>Published</x:v>
      </x:c>
      <x:c r="F29" s="20" t="n">
        <x:v>46203.5</x:v>
      </x:c>
      <x:c r="G29" s="17" t="str">
        <x:v>Mateusz Kowalski</x:v>
      </x:c>
      <x:c r="H29" s="17" t="str">
        <x:v>Confirm multi-user impact; appoint incident lead; publish status; track timeline; conduct review.</x:v>
      </x:c>
      <x:c r="I29" s="17" t="str">
        <x:v>password|vpn|hardware|application|security|incident-management</x:v>
      </x:c>
    </x:row>
  </x:sheetData>
  <x:mergeCells>
    <x:mergeCell ref="A1:I1"/>
    <x:mergeCell ref="A2:I2"/>
  </x:mergeCells>
  <x:pageMargins left="0.7" right="0.7" top="0.75" bottom="0.75" header="0.3" footer="0.3"/>
  <x:tableParts count="1">
    <x:tablePart xmlns:r="http://schemas.openxmlformats.org/officeDocument/2006/relationships" r:id="Re3abae9a1bdd4a5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1" hidden="0" customWidth="1"/>
    <x:col min="2" max="2" width="34" hidden="0" customWidth="1"/>
    <x:col min="3" max="3" width="15.109999656677246" hidden="0" customWidth="1"/>
    <x:col min="4" max="4" width="11" hidden="0" customWidth="1"/>
    <x:col min="5" max="5" width="11" hidden="0" customWidth="1"/>
    <x:col min="6" max="6" width="14.220000267028809" hidden="0" customWidth="1"/>
    <x:col min="7" max="7" width="11" hidden="0" customWidth="1"/>
    <x:col min="8" max="8" width="11" hidden="0" customWidth="1"/>
    <x:col min="9" max="9" width="11" hidden="0" customWidth="1"/>
    <x:col min="10" max="10" width="14.220000267028809" hidden="0" customWidth="1"/>
    <x:col min="11" max="11" width="13.890000343322754" hidden="0" customWidth="1"/>
    <x:col min="12" max="12" width="11" hidden="0" customWidth="1"/>
    <x:col min="13" max="13" width="11" hidden="0" customWidth="1"/>
    <x:col min="14" max="14" width="12.4399995803833" hidden="0" customWidth="1"/>
    <x:col min="15" max="15" width="11" hidden="0" customWidth="1"/>
    <x:col min="16" max="16" width="34" hidden="0" customWidth="1"/>
    <x:col min="17" max="17" width="34" hidden="0" customWidth="1"/>
    <x:col min="18" max="18" width="11" hidden="0" customWidth="1"/>
    <x:col min="19" max="19" width="11" hidden="0" customWidth="1"/>
    <x:col min="20" max="20" width="20.329999923706055" hidden="0" customWidth="1"/>
    <x:col min="21" max="21" width="15.220000267028809" hidden="0" customWidth="1"/>
    <x:col min="22" max="22" width="11" hidden="0" customWidth="1"/>
    <x:col min="23" max="23" width="34" hidden="0" customWidth="1"/>
  </x:cols>
  <x:sheetData>
    <x:row r="1" ht="30" customHeight="1">
      <x:c r="A1" s="3" t="str">
        <x:v>KRkRice Historical IT Tickets</x:v>
      </x:c>
      <x:c r="B1" s="3"/>
      <x:c r="C1" s="3"/>
      <x:c r="D1" s="3"/>
      <x:c r="E1" s="3"/>
      <x:c r="F1" s="3"/>
      <x:c r="G1" s="3"/>
      <x:c r="H1" s="3"/>
      <x:c r="I1" s="3"/>
      <x:c r="J1" s="3"/>
      <x:c r="K1" s="3"/>
      <x:c r="L1" s="3"/>
      <x:c r="M1" s="3"/>
      <x:c r="N1" s="3"/>
      <x:c r="O1" s="3"/>
      <x:c r="P1" s="3"/>
      <x:c r="Q1" s="3"/>
      <x:c r="R1" s="3"/>
      <x:c r="S1" s="3"/>
      <x:c r="T1" s="3"/>
      <x:c r="U1" s="3"/>
      <x:c r="V1" s="3"/>
      <x:c r="W1" s="3"/>
    </x:row>
    <x:row r="2" ht="24" customHeight="1">
      <x:c r="A2" s="6" t="str">
        <x:v>100 synthetic tickets containing triage labels, routing targets, outcomes, confidence, and human feedback.</x:v>
      </x:c>
      <x:c r="B2" s="6"/>
      <x:c r="C2" s="6"/>
      <x:c r="D2" s="6"/>
      <x:c r="E2" s="6"/>
      <x:c r="F2" s="6"/>
      <x:c r="G2" s="6"/>
      <x:c r="H2" s="6"/>
      <x:c r="I2" s="6"/>
      <x:c r="J2" s="6"/>
      <x:c r="K2" s="6"/>
      <x:c r="L2" s="6"/>
      <x:c r="M2" s="6"/>
      <x:c r="N2" s="6"/>
      <x:c r="O2" s="6"/>
      <x:c r="P2" s="6"/>
      <x:c r="Q2" s="6"/>
      <x:c r="R2" s="6"/>
      <x:c r="S2" s="6"/>
      <x:c r="T2" s="6"/>
      <x:c r="U2" s="6"/>
      <x:c r="V2" s="6"/>
      <x:c r="W2" s="6"/>
    </x:row>
    <x:row r="4" ht="24" customHeight="1">
      <x:c r="A4" s="10" t="str">
        <x:v>ticket_id</x:v>
      </x:c>
      <x:c r="B4" s="10" t="str">
        <x:v>summary</x:v>
      </x:c>
      <x:c r="C4" s="10" t="str">
        <x:v>category</x:v>
      </x:c>
      <x:c r="D4" s="10" t="str">
        <x:v>system_id</x:v>
      </x:c>
      <x:c r="E4" s="10" t="str">
        <x:v>priority</x:v>
      </x:c>
      <x:c r="F4" s="10" t="str">
        <x:v>status</x:v>
      </x:c>
      <x:c r="G4" s="10" t="str">
        <x:v>created_date</x:v>
      </x:c>
      <x:c r="H4" s="10" t="str">
        <x:v>resolved_date</x:v>
      </x:c>
      <x:c r="I4" s="10" t="str">
        <x:v>requester_employee_id</x:v>
      </x:c>
      <x:c r="J4" s="10" t="str">
        <x:v>requester_name</x:v>
      </x:c>
      <x:c r="K4" s="10" t="str">
        <x:v>requester_department</x:v>
      </x:c>
      <x:c r="L4" s="10" t="str">
        <x:v>asset_id</x:v>
      </x:c>
      <x:c r="M4" s="10" t="str">
        <x:v>assigned_agent_id</x:v>
      </x:c>
      <x:c r="N4" s="10" t="str">
        <x:v>assigned_agent_name</x:v>
      </x:c>
      <x:c r="O4" s="10" t="str">
        <x:v>knowledge_article_id</x:v>
      </x:c>
      <x:c r="P4" s="10" t="str">
        <x:v>business_impact</x:v>
      </x:c>
      <x:c r="Q4" s="10" t="str">
        <x:v>resolution</x:v>
      </x:c>
      <x:c r="R4" s="10" t="str">
        <x:v>ai_confidence</x:v>
      </x:c>
      <x:c r="S4" s="10" t="str">
        <x:v>auto_resolution_eligible</x:v>
      </x:c>
      <x:c r="T4" s="10" t="str">
        <x:v>escalation_reason</x:v>
      </x:c>
      <x:c r="U4" s="10" t="str">
        <x:v>resolution_source</x:v>
      </x:c>
      <x:c r="V4" s="10" t="str">
        <x:v>human_feedback</x:v>
      </x:c>
      <x:c r="W4" s="10" t="str">
        <x:v>data_classification_note</x:v>
      </x:c>
    </x:row>
    <x:row r="5">
      <x:c r="A5" s="15" t="str">
        <x:v>TKT-0001</x:v>
      </x:c>
      <x:c r="B5" s="15" t="str">
        <x:v>Historical: GrainTrack stock is not updating</x:v>
      </x:c>
      <x:c r="C5" s="15" t="str">
        <x:v>Business Applications</x:v>
      </x:c>
      <x:c r="D5" s="15" t="str">
        <x:v>SYS-003</x:v>
      </x:c>
      <x:c r="E5" s="15" t="str">
        <x:v>Critical</x:v>
      </x:c>
      <x:c r="F5" s="15" t="str">
        <x:v>Resolved</x:v>
      </x:c>
      <x:c r="G5" s="18" t="n">
        <x:v>45759.5</x:v>
      </x:c>
      <x:c r="H5" s="18" t="n">
        <x:v>45759.5</x:v>
      </x:c>
      <x:c r="I5" s="15" t="str">
        <x:v>EMP-018</x:v>
      </x:c>
      <x:c r="J5" s="15" t="str">
        <x:v>Marek Alvarez</x:v>
      </x:c>
      <x:c r="K5" s="15" t="str">
        <x:v>Logistics</x:v>
      </x:c>
      <x:c r="L5" s="15" t="str"/>
      <x:c r="M5" s="15" t="str">
        <x:v>AGT-003</x:v>
      </x:c>
      <x:c r="N5" s="15" t="str">
        <x:v>Aisha Rahman</x:v>
      </x:c>
      <x:c r="O5" s="15" t="str">
        <x:v>KB-013</x:v>
      </x:c>
      <x:c r="P5" s="15" t="str">
        <x:v>Multiple warehouse users see stale inventory.</x:v>
      </x:c>
      <x:c r="Q5" s="15" t="str">
        <x:v>Pause manual adjustments and restore the inventory integration.</x:v>
      </x:c>
      <x:c r="R5" s="21" t="n">
        <x:v>0.7</x:v>
      </x:c>
      <x:c r="S5" s="15" t="str">
        <x:v>No</x:v>
      </x:c>
      <x:c r="T5" s="15" t="str">
        <x:v>Major incident review</x:v>
      </x:c>
      <x:c r="U5" s="15" t="str">
        <x:v>Human response</x:v>
      </x:c>
      <x:c r="V5" s="15" t="str">
        <x:v>Approved</x:v>
      </x:c>
      <x:c r="W5" s="15" t="str">
        <x:v>Synthetic ticket 1; no real customer or personal data.</x:v>
      </x:c>
    </x:row>
    <x:row r="6">
      <x:c r="A6" s="16" t="str">
        <x:v>TKT-0002</x:v>
      </x:c>
      <x:c r="B6" s="16" t="str">
        <x:v>Historical: Unexpected sign-in from another country</x:v>
      </x:c>
      <x:c r="C6" s="16" t="str">
        <x:v>Security</x:v>
      </x:c>
      <x:c r="D6" s="16" t="str">
        <x:v>SYS-008</x:v>
      </x:c>
      <x:c r="E6" s="16" t="str">
        <x:v>Critical</x:v>
      </x:c>
      <x:c r="F6" s="16" t="str">
        <x:v>Resolved</x:v>
      </x:c>
      <x:c r="G6" s="19" t="n">
        <x:v>45861.5</x:v>
      </x:c>
      <x:c r="H6" s="19" t="n">
        <x:v>45861.5</x:v>
      </x:c>
      <x:c r="I6" s="16" t="str">
        <x:v>EMP-035</x:v>
      </x:c>
      <x:c r="J6" s="16" t="str">
        <x:v>Sara Szymański</x:v>
      </x:c>
      <x:c r="K6" s="16" t="str">
        <x:v>Warehouse</x:v>
      </x:c>
      <x:c r="L6" s="16" t="str">
        <x:v>AST-002</x:v>
      </x:c>
      <x:c r="M6" s="16" t="str">
        <x:v>AGT-005</x:v>
      </x:c>
      <x:c r="N6" s="16" t="str">
        <x:v>Yuki Tanaka</x:v>
      </x:c>
      <x:c r="O6" s="16" t="str">
        <x:v>KB-020</x:v>
      </x:c>
      <x:c r="P6" s="16" t="str">
        <x:v>Possible account compromise.</x:v>
      </x:c>
      <x:c r="Q6" s="16" t="str">
        <x:v>Revoke sessions, reset credentials, and open a security incident.</x:v>
      </x:c>
      <x:c r="R6" s="22" t="n">
        <x:v>0.71</x:v>
      </x:c>
      <x:c r="S6" s="16" t="str">
        <x:v>No</x:v>
      </x:c>
      <x:c r="T6" s="16" t="str">
        <x:v>Mandatory security escalation</x:v>
      </x:c>
      <x:c r="U6" s="16" t="str">
        <x:v>Human response</x:v>
      </x:c>
      <x:c r="V6" s="16" t="str">
        <x:v>Approved</x:v>
      </x:c>
      <x:c r="W6" s="16" t="str">
        <x:v>Synthetic ticket 2; no real customer or personal data.</x:v>
      </x:c>
    </x:row>
    <x:row r="7">
      <x:c r="A7" s="16" t="str">
        <x:v>TKT-0003</x:v>
      </x:c>
      <x:c r="B7" s="16" t="str">
        <x:v>Historical: MFA prompt never arrives</x:v>
      </x:c>
      <x:c r="C7" s="16" t="str">
        <x:v>Identity &amp; Access</x:v>
      </x:c>
      <x:c r="D7" s="16" t="str">
        <x:v>SYS-008</x:v>
      </x:c>
      <x:c r="E7" s="16" t="str">
        <x:v>High</x:v>
      </x:c>
      <x:c r="F7" s="16" t="str">
        <x:v>Resolved</x:v>
      </x:c>
      <x:c r="G7" s="19" t="n">
        <x:v>45937.5</x:v>
      </x:c>
      <x:c r="H7" s="19" t="n">
        <x:v>45937.5</x:v>
      </x:c>
      <x:c r="I7" s="16" t="str">
        <x:v>EMP-052</x:v>
      </x:c>
      <x:c r="J7" s="16" t="str">
        <x:v>Nadia O'Connor</x:v>
      </x:c>
      <x:c r="K7" s="16" t="str">
        <x:v>Warehouse</x:v>
      </x:c>
      <x:c r="L7" s="16" t="str"/>
      <x:c r="M7" s="16" t="str">
        <x:v>AGT-001</x:v>
      </x:c>
      <x:c r="N7" s="16" t="str">
        <x:v>Sofia Alvarez</x:v>
      </x:c>
      <x:c r="O7" s="16" t="str">
        <x:v>KB-003</x:v>
      </x:c>
      <x:c r="P7" s="16" t="str">
        <x:v>User is blocked from all SSO applications.</x:v>
      </x:c>
      <x:c r="Q7" s="16" t="str">
        <x:v>Verify identity and re-register the approved MFA method.</x:v>
      </x:c>
      <x:c r="R7" s="22" t="n">
        <x:v>0.72</x:v>
      </x:c>
      <x:c r="S7" s="16" t="str">
        <x:v>No</x:v>
      </x:c>
      <x:c r="T7" s="16" t="str">
        <x:v>Low confidence</x:v>
      </x:c>
      <x:c r="U7" s="16" t="str">
        <x:v>AI draft approved</x:v>
      </x:c>
      <x:c r="V7" s="16" t="str">
        <x:v>Approved</x:v>
      </x:c>
      <x:c r="W7" s="16" t="str">
        <x:v>Synthetic ticket 3; no real customer or personal data.</x:v>
      </x:c>
    </x:row>
    <x:row r="8">
      <x:c r="A8" s="16" t="str">
        <x:v>TKT-0004</x:v>
      </x:c>
      <x:c r="B8" s="16" t="str">
        <x:v>Historical: ExportHub access requested for new salesperson</x:v>
      </x:c>
      <x:c r="C8" s="16" t="str">
        <x:v>Service Request</x:v>
      </x:c>
      <x:c r="D8" s="16" t="str">
        <x:v>SYS-004</x:v>
      </x:c>
      <x:c r="E8" s="16" t="str">
        <x:v>Low</x:v>
      </x:c>
      <x:c r="F8" s="16" t="str">
        <x:v>Resolved</x:v>
      </x:c>
      <x:c r="G8" s="19" t="n">
        <x:v>45675.5</x:v>
      </x:c>
      <x:c r="H8" s="19" t="n">
        <x:v>45675.5</x:v>
      </x:c>
      <x:c r="I8" s="16" t="str">
        <x:v>EMP-069</x:v>
      </x:c>
      <x:c r="J8" s="16" t="str">
        <x:v>Liam Garcia</x:v>
      </x:c>
      <x:c r="K8" s="16" t="str">
        <x:v>Finance</x:v>
      </x:c>
      <x:c r="L8" s="16" t="str"/>
      <x:c r="M8" s="16" t="str">
        <x:v>AGT-003</x:v>
      </x:c>
      <x:c r="N8" s="16" t="str">
        <x:v>Aisha Rahman</x:v>
      </x:c>
      <x:c r="O8" s="16" t="str">
        <x:v>KB-014</x:v>
      </x:c>
      <x:c r="P8" s="16" t="str">
        <x:v>New employee needs CRM access.</x:v>
      </x:c>
      <x:c r="Q8" s="16" t="str">
        <x:v>Obtain manager approval and assign the standard sales role.</x:v>
      </x:c>
      <x:c r="R8" s="22" t="n">
        <x:v>0.73</x:v>
      </x:c>
      <x:c r="S8" s="16" t="str">
        <x:v>No</x:v>
      </x:c>
      <x:c r="T8" s="16" t="str">
        <x:v>Low confidence</x:v>
      </x:c>
      <x:c r="U8" s="16" t="str">
        <x:v>Human-edited AI draft</x:v>
      </x:c>
      <x:c r="V8" s="16" t="str">
        <x:v>Approved</x:v>
      </x:c>
      <x:c r="W8" s="16" t="str">
        <x:v>Synthetic ticket 4; no real customer or personal data.</x:v>
      </x:c>
    </x:row>
    <x:row r="9">
      <x:c r="A9" s="16" t="str">
        <x:v>TKT-0005</x:v>
      </x:c>
      <x:c r="B9" s="16" t="str">
        <x:v>Historical: Company laptop lost during travel</x:v>
      </x:c>
      <x:c r="C9" s="16" t="str">
        <x:v>Security</x:v>
      </x:c>
      <x:c r="D9" s="16" t="str">
        <x:v>SYS-015</x:v>
      </x:c>
      <x:c r="E9" s="16" t="str">
        <x:v>Critical</x:v>
      </x:c>
      <x:c r="F9" s="16" t="str">
        <x:v>Closed</x:v>
      </x:c>
      <x:c r="G9" s="19" t="n">
        <x:v>45749.5</x:v>
      </x:c>
      <x:c r="H9" s="19" t="n">
        <x:v>45749.5</x:v>
      </x:c>
      <x:c r="I9" s="16" t="str">
        <x:v>EMP-086</x:v>
      </x:c>
      <x:c r="J9" s="16" t="str">
        <x:v>Nadia Rahman</x:v>
      </x:c>
      <x:c r="K9" s="16" t="str">
        <x:v>Operations</x:v>
      </x:c>
      <x:c r="L9" s="16" t="str">
        <x:v>AST-045</x:v>
      </x:c>
      <x:c r="M9" s="16" t="str">
        <x:v>AGT-005</x:v>
      </x:c>
      <x:c r="N9" s="16" t="str">
        <x:v>Yuki Tanaka</x:v>
      </x:c>
      <x:c r="O9" s="16" t="str">
        <x:v>KB-021</x:v>
      </x:c>
      <x:c r="P9" s="16" t="str">
        <x:v>Managed device may be exposed.</x:v>
      </x:c>
      <x:c r="Q9" s="16" t="str">
        <x:v>Remote lock the device and initiate the security response procedure.</x:v>
      </x:c>
      <x:c r="R9" s="22" t="n">
        <x:v>0.74</x:v>
      </x:c>
      <x:c r="S9" s="16" t="str">
        <x:v>No</x:v>
      </x:c>
      <x:c r="T9" s="16" t="str">
        <x:v>Mandatory security escalation</x:v>
      </x:c>
      <x:c r="U9" s="16" t="str">
        <x:v>Human response</x:v>
      </x:c>
      <x:c r="V9" s="16" t="str">
        <x:v>Approved</x:v>
      </x:c>
      <x:c r="W9" s="16" t="str">
        <x:v>Synthetic ticket 5; no real customer or personal data.</x:v>
      </x:c>
    </x:row>
    <x:row r="10">
      <x:c r="A10" s="16" t="str">
        <x:v>TKT-0006</x:v>
      </x:c>
      <x:c r="B10" s="16" t="str">
        <x:v>Historical: Account locked after repeated sign-in</x:v>
      </x:c>
      <x:c r="C10" s="16" t="str">
        <x:v>Identity &amp; Access</x:v>
      </x:c>
      <x:c r="D10" s="16" t="str">
        <x:v>SYS-008</x:v>
      </x:c>
      <x:c r="E10" s="16" t="str">
        <x:v>Medium</x:v>
      </x:c>
      <x:c r="F10" s="16" t="str">
        <x:v>Closed</x:v>
      </x:c>
      <x:c r="G10" s="19" t="n">
        <x:v>45851.5</x:v>
      </x:c>
      <x:c r="H10" s="19" t="n">
        <x:v>45851.5</x:v>
      </x:c>
      <x:c r="I10" s="16" t="str">
        <x:v>EMP-003</x:v>
      </x:c>
      <x:c r="J10" s="16" t="str">
        <x:v>Sara Szymański</x:v>
      </x:c>
      <x:c r="K10" s="16" t="str">
        <x:v>Export Sales</x:v>
      </x:c>
      <x:c r="L10" s="16" t="str"/>
      <x:c r="M10" s="16" t="str">
        <x:v>AGT-001</x:v>
      </x:c>
      <x:c r="N10" s="16" t="str">
        <x:v>Sofia Alvarez</x:v>
      </x:c>
      <x:c r="O10" s="16" t="str">
        <x:v>KB-004</x:v>
      </x:c>
      <x:c r="P10" s="16" t="str">
        <x:v>User cannot sign in to company systems.</x:v>
      </x:c>
      <x:c r="Q10" s="16" t="str">
        <x:v>Identify lockout source, verify identity, and unlock the account.</x:v>
      </x:c>
      <x:c r="R10" s="22" t="n">
        <x:v>0.75</x:v>
      </x:c>
      <x:c r="S10" s="16" t="str">
        <x:v>No</x:v>
      </x:c>
      <x:c r="T10" s="16" t="str">
        <x:v>Low confidence</x:v>
      </x:c>
      <x:c r="U10" s="16" t="str">
        <x:v>AI draft approved</x:v>
      </x:c>
      <x:c r="V10" s="16" t="str">
        <x:v>Approved</x:v>
      </x:c>
      <x:c r="W10" s="16" t="str">
        <x:v>Synthetic ticket 6; no real customer or personal data.</x:v>
      </x:c>
    </x:row>
    <x:row r="11">
      <x:c r="A11" s="16" t="str">
        <x:v>TKT-0007</x:v>
      </x:c>
      <x:c r="B11" s="16" t="str">
        <x:v>Historical: CertiRice rejects quality certificate</x:v>
      </x:c>
      <x:c r="C11" s="16" t="str">
        <x:v>Business Applications</x:v>
      </x:c>
      <x:c r="D11" s="16" t="str">
        <x:v>SYS-005</x:v>
      </x:c>
      <x:c r="E11" s="16" t="str">
        <x:v>Medium</x:v>
      </x:c>
      <x:c r="F11" s="16" t="str">
        <x:v>Waiting for customer</x:v>
      </x:c>
      <x:c r="G11" s="19" t="n">
        <x:v>45954.5</x:v>
      </x:c>
      <x:c r="H11" s="19" t="str"/>
      <x:c r="I11" s="16" t="str">
        <x:v>EMP-020</x:v>
      </x:c>
      <x:c r="J11" s="16" t="str">
        <x:v>Aisha Kaczmarek</x:v>
      </x:c>
      <x:c r="K11" s="16" t="str">
        <x:v>Logistics</x:v>
      </x:c>
      <x:c r="L11" s="16" t="str"/>
      <x:c r="M11" s="16" t="str">
        <x:v>AGT-003</x:v>
      </x:c>
      <x:c r="N11" s="16" t="str">
        <x:v>Aisha Rahman</x:v>
      </x:c>
      <x:c r="O11" s="16" t="str">
        <x:v>KB-015</x:v>
      </x:c>
      <x:c r="P11" s="16" t="str">
        <x:v>Certificate cannot be attached to a shipment.</x:v>
      </x:c>
      <x:c r="Q11" s="16" t="str"/>
      <x:c r="R11" s="22" t="n">
        <x:v>0.76</x:v>
      </x:c>
      <x:c r="S11" s="16" t="str">
        <x:v>No</x:v>
      </x:c>
      <x:c r="T11" s="16" t="str">
        <x:v>Low confidence</x:v>
      </x:c>
      <x:c r="U11" s="16" t="str"/>
      <x:c r="V11" s="16" t="str">
        <x:v>Pending</x:v>
      </x:c>
      <x:c r="W11" s="16" t="str">
        <x:v>Synthetic ticket 7; no real customer or personal data.</x:v>
      </x:c>
    </x:row>
    <x:row r="12">
      <x:c r="A12" s="16" t="str">
        <x:v>TKT-0008</x:v>
      </x:c>
      <x:c r="B12" s="16" t="str">
        <x:v>Historical: Approved software installation request</x:v>
      </x:c>
      <x:c r="C12" s="16" t="str">
        <x:v>Service Request</x:v>
      </x:c>
      <x:c r="D12" s="16" t="str">
        <x:v>SYS-015</x:v>
      </x:c>
      <x:c r="E12" s="16" t="str">
        <x:v>Low</x:v>
      </x:c>
      <x:c r="F12" s="16" t="str">
        <x:v>In progress</x:v>
      </x:c>
      <x:c r="G12" s="19" t="n">
        <x:v>45665.5</x:v>
      </x:c>
      <x:c r="H12" s="19" t="str"/>
      <x:c r="I12" s="16" t="str">
        <x:v>EMP-037</x:v>
      </x:c>
      <x:c r="J12" s="16" t="str">
        <x:v>Katarzyna Bąk</x:v>
      </x:c>
      <x:c r="K12" s="16" t="str">
        <x:v>Warehouse</x:v>
      </x:c>
      <x:c r="L12" s="16" t="str"/>
      <x:c r="M12" s="16" t="str">
        <x:v>AGT-002</x:v>
      </x:c>
      <x:c r="N12" s="16" t="str">
        <x:v>Liam O'Connor</x:v>
      </x:c>
      <x:c r="O12" s="16" t="str">
        <x:v>KB-022</x:v>
      </x:c>
      <x:c r="P12" s="16" t="str">
        <x:v>Employee requires an approved productivity tool.</x:v>
      </x:c>
      <x:c r="Q12" s="16" t="str"/>
      <x:c r="R12" s="22" t="n">
        <x:v>0.77</x:v>
      </x:c>
      <x:c r="S12" s="16" t="str">
        <x:v>No</x:v>
      </x:c>
      <x:c r="T12" s="16" t="str">
        <x:v>Low confidence</x:v>
      </x:c>
      <x:c r="U12" s="16" t="str"/>
      <x:c r="V12" s="16" t="str">
        <x:v>Pending</x:v>
      </x:c>
      <x:c r="W12" s="16" t="str">
        <x:v>Synthetic ticket 8; no real customer or personal data.</x:v>
      </x:c>
    </x:row>
    <x:row r="13">
      <x:c r="A13" s="16" t="str">
        <x:v>TKT-0009</x:v>
      </x:c>
      <x:c r="B13" s="16" t="str">
        <x:v>Historical: Warehouse scanner will not sync</x:v>
      </x:c>
      <x:c r="C13" s="16" t="str">
        <x:v>Hardware</x:v>
      </x:c>
      <x:c r="D13" s="16" t="str">
        <x:v>SYS-003</x:v>
      </x:c>
      <x:c r="E13" s="16" t="str">
        <x:v>High</x:v>
      </x:c>
      <x:c r="F13" s="16" t="str">
        <x:v>Open</x:v>
      </x:c>
      <x:c r="G13" s="19" t="n">
        <x:v>45766.5</x:v>
      </x:c>
      <x:c r="H13" s="19" t="str"/>
      <x:c r="I13" s="16" t="str">
        <x:v>EMP-054</x:v>
      </x:c>
      <x:c r="J13" s="16" t="str">
        <x:v>Hanna Wójcik</x:v>
      </x:c>
      <x:c r="K13" s="16" t="str">
        <x:v>Warehouse</x:v>
      </x:c>
      <x:c r="L13" s="16" t="str">
        <x:v>AST-044</x:v>
      </x:c>
      <x:c r="M13" s="16" t="str">
        <x:v>AGT-002</x:v>
      </x:c>
      <x:c r="N13" s="16" t="str">
        <x:v>Liam O'Connor</x:v>
      </x:c>
      <x:c r="O13" s="16" t="str">
        <x:v>KB-010</x:v>
      </x:c>
      <x:c r="P13" s="16" t="str">
        <x:v>Picking activity is delayed for one operator.</x:v>
      </x:c>
      <x:c r="Q13" s="16" t="str"/>
      <x:c r="R13" s="22" t="n">
        <x:v>0.78</x:v>
      </x:c>
      <x:c r="S13" s="16" t="str">
        <x:v>No</x:v>
      </x:c>
      <x:c r="T13" s="16" t="str">
        <x:v>Low confidence</x:v>
      </x:c>
      <x:c r="U13" s="16" t="str"/>
      <x:c r="V13" s="16" t="str">
        <x:v>Pending</x:v>
      </x:c>
      <x:c r="W13" s="16" t="str">
        <x:v>Synthetic ticket 9; no real customer or personal data.</x:v>
      </x:c>
    </x:row>
    <x:row r="14">
      <x:c r="A14" s="16" t="str">
        <x:v>TKT-0010</x:v>
      </x:c>
      <x:c r="B14" s="16" t="str">
        <x:v>Historical: ShipLink cannot find container</x:v>
      </x:c>
      <x:c r="C14" s="16" t="str">
        <x:v>Business Applications</x:v>
      </x:c>
      <x:c r="D14" s="16" t="str">
        <x:v>SYS-006</x:v>
      </x:c>
      <x:c r="E14" s="16" t="str">
        <x:v>Medium</x:v>
      </x:c>
      <x:c r="F14" s="16" t="str">
        <x:v>Resolved</x:v>
      </x:c>
      <x:c r="G14" s="19" t="n">
        <x:v>45841.5</x:v>
      </x:c>
      <x:c r="H14" s="19" t="n">
        <x:v>45841.5</x:v>
      </x:c>
      <x:c r="I14" s="16" t="str">
        <x:v>EMP-071</x:v>
      </x:c>
      <x:c r="J14" s="16" t="str">
        <x:v>Aleksandra Lis</x:v>
      </x:c>
      <x:c r="K14" s="16" t="str">
        <x:v>Finance</x:v>
      </x:c>
      <x:c r="L14" s="16" t="str"/>
      <x:c r="M14" s="16" t="str">
        <x:v>AGT-003</x:v>
      </x:c>
      <x:c r="N14" s="16" t="str">
        <x:v>Aisha Rahman</x:v>
      </x:c>
      <x:c r="O14" s="16" t="str">
        <x:v>KB-016</x:v>
      </x:c>
      <x:c r="P14" s="16" t="str">
        <x:v>Logistics cannot view carrier tracking.</x:v>
      </x:c>
      <x:c r="Q14" s="16" t="str">
        <x:v>Validate the container reference and refresh the carrier integration.</x:v>
      </x:c>
      <x:c r="R14" s="22" t="n">
        <x:v>0.79</x:v>
      </x:c>
      <x:c r="S14" s="16" t="str">
        <x:v>No</x:v>
      </x:c>
      <x:c r="T14" s="16" t="str">
        <x:v>Low confidence</x:v>
      </x:c>
      <x:c r="U14" s="16" t="str">
        <x:v>Human response</x:v>
      </x:c>
      <x:c r="V14" s="16" t="str">
        <x:v>Approved</x:v>
      </x:c>
      <x:c r="W14" s="16" t="str">
        <x:v>Synthetic ticket 10; no real customer or personal data.</x:v>
      </x:c>
    </x:row>
    <x:row r="15">
      <x:c r="A15" s="16" t="str">
        <x:v>TKT-0011</x:v>
      </x:c>
      <x:c r="B15" s="16" t="str">
        <x:v>Historical: New employee IT onboarding</x:v>
      </x:c>
      <x:c r="C15" s="16" t="str">
        <x:v>Service Request</x:v>
      </x:c>
      <x:c r="D15" s="16" t="str">
        <x:v>SYS-008</x:v>
      </x:c>
      <x:c r="E15" s="16" t="str">
        <x:v>Medium</x:v>
      </x:c>
      <x:c r="F15" s="16" t="str">
        <x:v>Resolved</x:v>
      </x:c>
      <x:c r="G15" s="19" t="n">
        <x:v>45944.5</x:v>
      </x:c>
      <x:c r="H15" s="19" t="n">
        <x:v>45944.5</x:v>
      </x:c>
      <x:c r="I15" s="16" t="str">
        <x:v>EMP-088</x:v>
      </x:c>
      <x:c r="J15" s="16" t="str">
        <x:v>Hanna Zieliński</x:v>
      </x:c>
      <x:c r="K15" s="16" t="str">
        <x:v>Operations</x:v>
      </x:c>
      <x:c r="L15" s="16" t="str"/>
      <x:c r="M15" s="16" t="str">
        <x:v>AGT-001</x:v>
      </x:c>
      <x:c r="N15" s="16" t="str">
        <x:v>Sofia Alvarez</x:v>
      </x:c>
      <x:c r="O15" s="16" t="str">
        <x:v>KB-023</x:v>
      </x:c>
      <x:c r="P15" s="16" t="str">
        <x:v>New starter requires baseline equipment and access.</x:v>
      </x:c>
      <x:c r="Q15" s="16" t="str">
        <x:v>Provision baseline account, MFA, groups, and assigned device.</x:v>
      </x:c>
      <x:c r="R15" s="22" t="n">
        <x:v>0.8</x:v>
      </x:c>
      <x:c r="S15" s="16" t="str">
        <x:v>Yes</x:v>
      </x:c>
      <x:c r="T15" s="16" t="str">
        <x:v>None</x:v>
      </x:c>
      <x:c r="U15" s="16" t="str">
        <x:v>Human response</x:v>
      </x:c>
      <x:c r="V15" s="16" t="str">
        <x:v>Approved</x:v>
      </x:c>
      <x:c r="W15" s="16" t="str">
        <x:v>Synthetic ticket 11; no real customer or personal data.</x:v>
      </x:c>
    </x:row>
    <x:row r="16">
      <x:c r="A16" s="16" t="str">
        <x:v>TKT-0012</x:v>
      </x:c>
      <x:c r="B16" s="16" t="str">
        <x:v>Historical: Label printer produces blank labels</x:v>
      </x:c>
      <x:c r="C16" s="16" t="str">
        <x:v>Hardware</x:v>
      </x:c>
      <x:c r="D16" s="16" t="str">
        <x:v>SYS-013</x:v>
      </x:c>
      <x:c r="E16" s="16" t="str">
        <x:v>High</x:v>
      </x:c>
      <x:c r="F16" s="16" t="str">
        <x:v>Resolved</x:v>
      </x:c>
      <x:c r="G16" s="19" t="n">
        <x:v>45682.5</x:v>
      </x:c>
      <x:c r="H16" s="19" t="n">
        <x:v>45682.5</x:v>
      </x:c>
      <x:c r="I16" s="16" t="str">
        <x:v>EMP-005</x:v>
      </x:c>
      <x:c r="J16" s="16" t="str">
        <x:v>Katarzyna Bąk</x:v>
      </x:c>
      <x:c r="K16" s="16" t="str">
        <x:v>Export Sales</x:v>
      </x:c>
      <x:c r="L16" s="16" t="str">
        <x:v>AST-008</x:v>
      </x:c>
      <x:c r="M16" s="16" t="str">
        <x:v>AGT-002</x:v>
      </x:c>
      <x:c r="N16" s="16" t="str">
        <x:v>Liam O'Connor</x:v>
      </x:c>
      <x:c r="O16" s="16" t="str">
        <x:v>KB-009</x:v>
      </x:c>
      <x:c r="P16" s="16" t="str">
        <x:v>Outbound pallet labeling is delayed.</x:v>
      </x:c>
      <x:c r="Q16" s="16" t="str">
        <x:v>Reload media, calibrate printer, and restart the managed print queue.</x:v>
      </x:c>
      <x:c r="R16" s="22" t="n">
        <x:v>0.81</x:v>
      </x:c>
      <x:c r="S16" s="16" t="str">
        <x:v>Yes</x:v>
      </x:c>
      <x:c r="T16" s="16" t="str">
        <x:v>None</x:v>
      </x:c>
      <x:c r="U16" s="16" t="str">
        <x:v>Human-edited AI draft</x:v>
      </x:c>
      <x:c r="V16" s="16" t="str">
        <x:v>Approved</x:v>
      </x:c>
      <x:c r="W16" s="16" t="str">
        <x:v>Synthetic ticket 12; no real customer or personal data.</x:v>
      </x:c>
    </x:row>
    <x:row r="17">
      <x:c r="A17" s="16" t="str">
        <x:v>TKT-0013</x:v>
      </x:c>
      <x:c r="B17" s="16" t="str">
        <x:v>Historical: Deleted pricing workbook in SharePoint</x:v>
      </x:c>
      <x:c r="C17" s="16" t="str">
        <x:v>Collaboration</x:v>
      </x:c>
      <x:c r="D17" s="16" t="str">
        <x:v>SYS-010</x:v>
      </x:c>
      <x:c r="E17" s="16" t="str">
        <x:v>High</x:v>
      </x:c>
      <x:c r="F17" s="16" t="str">
        <x:v>Resolved</x:v>
      </x:c>
      <x:c r="G17" s="19" t="n">
        <x:v>45756.5</x:v>
      </x:c>
      <x:c r="H17" s="19" t="n">
        <x:v>45756.5</x:v>
      </x:c>
      <x:c r="I17" s="16" t="str">
        <x:v>EMP-022</x:v>
      </x:c>
      <x:c r="J17" s="16" t="str">
        <x:v>Michał Nowak</x:v>
      </x:c>
      <x:c r="K17" s="16" t="str">
        <x:v>Logistics</x:v>
      </x:c>
      <x:c r="L17" s="16" t="str"/>
      <x:c r="M17" s="16" t="str">
        <x:v>AGT-003</x:v>
      </x:c>
      <x:c r="N17" s="16" t="str">
        <x:v>Aisha Rahman</x:v>
      </x:c>
      <x:c r="O17" s="16" t="str">
        <x:v>KB-017</x:v>
      </x:c>
      <x:c r="P17" s="16" t="str">
        <x:v>Sales team needs a recently deleted file.</x:v>
      </x:c>
      <x:c r="Q17" s="16" t="str">
        <x:v>Restore the correct retained version from the SharePoint recycle bin.</x:v>
      </x:c>
      <x:c r="R17" s="22" t="n">
        <x:v>0.82</x:v>
      </x:c>
      <x:c r="S17" s="16" t="str">
        <x:v>Yes</x:v>
      </x:c>
      <x:c r="T17" s="16" t="str">
        <x:v>None</x:v>
      </x:c>
      <x:c r="U17" s="16" t="str">
        <x:v>Human response</x:v>
      </x:c>
      <x:c r="V17" s="16" t="str">
        <x:v>Approved</x:v>
      </x:c>
      <x:c r="W17" s="16" t="str">
        <x:v>Synthetic ticket 13; no real customer or personal data.</x:v>
      </x:c>
    </x:row>
    <x:row r="18">
      <x:c r="A18" s="16" t="str">
        <x:v>TKT-0014</x:v>
      </x:c>
      <x:c r="B18" s="16" t="str">
        <x:v>Historical: Employee offboarding request</x:v>
      </x:c>
      <x:c r="C18" s="16" t="str">
        <x:v>Security</x:v>
      </x:c>
      <x:c r="D18" s="16" t="str">
        <x:v>SYS-008</x:v>
      </x:c>
      <x:c r="E18" s="16" t="str">
        <x:v>High</x:v>
      </x:c>
      <x:c r="F18" s="16" t="str">
        <x:v>Resolved</x:v>
      </x:c>
      <x:c r="G18" s="19" t="n">
        <x:v>45858.5</x:v>
      </x:c>
      <x:c r="H18" s="19" t="n">
        <x:v>45858.5</x:v>
      </x:c>
      <x:c r="I18" s="16" t="str">
        <x:v>EMP-039</x:v>
      </x:c>
      <x:c r="J18" s="16" t="str">
        <x:v>Zofia Kowalski</x:v>
      </x:c>
      <x:c r="K18" s="16" t="str">
        <x:v>Warehouse</x:v>
      </x:c>
      <x:c r="L18" s="16" t="str">
        <x:v>AST-006</x:v>
      </x:c>
      <x:c r="M18" s="16" t="str">
        <x:v>AGT-005</x:v>
      </x:c>
      <x:c r="N18" s="16" t="str">
        <x:v>Yuki Tanaka</x:v>
      </x:c>
      <x:c r="O18" s="16" t="str">
        <x:v>KB-024</x:v>
      </x:c>
      <x:c r="P18" s="16" t="str">
        <x:v>Departing employee access must end on schedule.</x:v>
      </x:c>
      <x:c r="Q18" s="16" t="str">
        <x:v>Disable access, revoke sessions, preserve data, and recover assets.</x:v>
      </x:c>
      <x:c r="R18" s="22" t="n">
        <x:v>0.83</x:v>
      </x:c>
      <x:c r="S18" s="16" t="str">
        <x:v>No</x:v>
      </x:c>
      <x:c r="T18" s="16" t="str">
        <x:v>Mandatory security escalation</x:v>
      </x:c>
      <x:c r="U18" s="16" t="str">
        <x:v>Human response</x:v>
      </x:c>
      <x:c r="V18" s="16" t="str">
        <x:v>Approved</x:v>
      </x:c>
      <x:c r="W18" s="16" t="str">
        <x:v>Synthetic ticket 14; no real customer or personal data.</x:v>
      </x:c>
    </x:row>
    <x:row r="19">
      <x:c r="A19" s="16" t="str">
        <x:v>TKT-0015</x:v>
      </x:c>
      <x:c r="B19" s="16" t="str">
        <x:v>Historical: Laptop screen flickers through dock</x:v>
      </x:c>
      <x:c r="C19" s="16" t="str">
        <x:v>Hardware</x:v>
      </x:c>
      <x:c r="D19" s="16" t="str">
        <x:v>SYS-015</x:v>
      </x:c>
      <x:c r="E19" s="16" t="str">
        <x:v>Low</x:v>
      </x:c>
      <x:c r="F19" s="16" t="str">
        <x:v>Closed</x:v>
      </x:c>
      <x:c r="G19" s="19" t="n">
        <x:v>45934.5</x:v>
      </x:c>
      <x:c r="H19" s="19" t="n">
        <x:v>45934.5</x:v>
      </x:c>
      <x:c r="I19" s="16" t="str">
        <x:v>EMP-056</x:v>
      </x:c>
      <x:c r="J19" s="16" t="str">
        <x:v>Aleksandra Alvarez</x:v>
      </x:c>
      <x:c r="K19" s="16" t="str">
        <x:v>Quality Control</x:v>
      </x:c>
      <x:c r="L19" s="16" t="str">
        <x:v>AST-035</x:v>
      </x:c>
      <x:c r="M19" s="16" t="str">
        <x:v>AGT-002</x:v>
      </x:c>
      <x:c r="N19" s="16" t="str">
        <x:v>Liam O'Connor</x:v>
      </x:c>
      <x:c r="O19" s="16" t="str">
        <x:v>KB-008</x:v>
      </x:c>
      <x:c r="P19" s="16" t="str">
        <x:v>Employee can work using the laptop display.</x:v>
      </x:c>
      <x:c r="Q19" s="16" t="str">
        <x:v>Update dock firmware and replace the display cable.</x:v>
      </x:c>
      <x:c r="R19" s="22" t="n">
        <x:v>0.84</x:v>
      </x:c>
      <x:c r="S19" s="16" t="str">
        <x:v>Yes</x:v>
      </x:c>
      <x:c r="T19" s="16" t="str">
        <x:v>None</x:v>
      </x:c>
      <x:c r="U19" s="16" t="str">
        <x:v>AI draft approved</x:v>
      </x:c>
      <x:c r="V19" s="16" t="str">
        <x:v>Approved</x:v>
      </x:c>
      <x:c r="W19" s="16" t="str">
        <x:v>Synthetic ticket 15; no real customer or personal data.</x:v>
      </x:c>
    </x:row>
    <x:row r="20">
      <x:c r="A20" s="16" t="str">
        <x:v>TKT-0016</x:v>
      </x:c>
      <x:c r="B20" s="16" t="str">
        <x:v>Historical: Teams microphone not detected</x:v>
      </x:c>
      <x:c r="C20" s="16" t="str">
        <x:v>Collaboration</x:v>
      </x:c>
      <x:c r="D20" s="16" t="str">
        <x:v>SYS-011</x:v>
      </x:c>
      <x:c r="E20" s="16" t="str">
        <x:v>Low</x:v>
      </x:c>
      <x:c r="F20" s="16" t="str">
        <x:v>Closed</x:v>
      </x:c>
      <x:c r="G20" s="19" t="n">
        <x:v>45672.5</x:v>
      </x:c>
      <x:c r="H20" s="19" t="n">
        <x:v>45672.5</x:v>
      </x:c>
      <x:c r="I20" s="16" t="str">
        <x:v>EMP-073</x:v>
      </x:c>
      <x:c r="J20" s="16" t="str">
        <x:v>Mateusz Sikora</x:v>
      </x:c>
      <x:c r="K20" s="16" t="str">
        <x:v>Finance</x:v>
      </x:c>
      <x:c r="L20" s="16" t="str"/>
      <x:c r="M20" s="16" t="str">
        <x:v>AGT-002</x:v>
      </x:c>
      <x:c r="N20" s="16" t="str">
        <x:v>Liam O'Connor</x:v>
      </x:c>
      <x:c r="O20" s="16" t="str">
        <x:v>KB-018</x:v>
      </x:c>
      <x:c r="P20" s="16" t="str">
        <x:v>User cannot speak during calls.</x:v>
      </x:c>
      <x:c r="Q20" s="16" t="str">
        <x:v>Select the correct device and restore OS microphone permission.</x:v>
      </x:c>
      <x:c r="R20" s="22" t="n">
        <x:v>0.85</x:v>
      </x:c>
      <x:c r="S20" s="16" t="str">
        <x:v>Yes</x:v>
      </x:c>
      <x:c r="T20" s="16" t="str">
        <x:v>None</x:v>
      </x:c>
      <x:c r="U20" s="16" t="str">
        <x:v>Human-edited AI draft</x:v>
      </x:c>
      <x:c r="V20" s="16" t="str">
        <x:v>Approved</x:v>
      </x:c>
      <x:c r="W20" s="16" t="str">
        <x:v>Synthetic ticket 16; no real customer or personal data.</x:v>
      </x:c>
    </x:row>
    <x:row r="21">
      <x:c r="A21" s="16" t="str">
        <x:v>TKT-0017</x:v>
      </x:c>
      <x:c r="B21" s="16" t="str">
        <x:v>Historical: Warehouse Wi-Fi unavailable</x:v>
      </x:c>
      <x:c r="C21" s="16" t="str">
        <x:v>Network &amp; VPN</x:v>
      </x:c>
      <x:c r="D21" s="16" t="str">
        <x:v>SYS-014</x:v>
      </x:c>
      <x:c r="E21" s="16" t="str">
        <x:v>Critical</x:v>
      </x:c>
      <x:c r="F21" s="16" t="str">
        <x:v>Waiting for customer</x:v>
      </x:c>
      <x:c r="G21" s="19" t="n">
        <x:v>45773.5</x:v>
      </x:c>
      <x:c r="H21" s="19" t="str"/>
      <x:c r="I21" s="16" t="str">
        <x:v>EMP-090</x:v>
      </x:c>
      <x:c r="J21" s="16" t="str">
        <x:v>Sara Jankowski</x:v>
      </x:c>
      <x:c r="K21" s="16" t="str">
        <x:v>Operations</x:v>
      </x:c>
      <x:c r="L21" s="16" t="str">
        <x:v>AST-053</x:v>
      </x:c>
      <x:c r="M21" s="16" t="str">
        <x:v>AGT-004</x:v>
      </x:c>
      <x:c r="N21" s="16" t="str">
        <x:v>Mateusz Kowalski</x:v>
      </x:c>
      <x:c r="O21" s="16" t="str">
        <x:v>KB-025</x:v>
      </x:c>
      <x:c r="P21" s="16" t="str">
        <x:v>Multiple warehouse devices are offline.</x:v>
      </x:c>
      <x:c r="Q21" s="16" t="str"/>
      <x:c r="R21" s="22" t="n">
        <x:v>0.86</x:v>
      </x:c>
      <x:c r="S21" s="16" t="str">
        <x:v>No</x:v>
      </x:c>
      <x:c r="T21" s="16" t="str">
        <x:v>Major incident review</x:v>
      </x:c>
      <x:c r="U21" s="16" t="str"/>
      <x:c r="V21" s="16" t="str">
        <x:v>Pending</x:v>
      </x:c>
      <x:c r="W21" s="16" t="str">
        <x:v>Synthetic ticket 17; no real customer or personal data.</x:v>
      </x:c>
    </x:row>
    <x:row r="22">
      <x:c r="A22" s="16" t="str">
        <x:v>TKT-0018</x:v>
      </x:c>
      <x:c r="B22" s="16" t="str">
        <x:v>Historical: RiceFlow invoice export fails</x:v>
      </x:c>
      <x:c r="C22" s="16" t="str">
        <x:v>Business Applications</x:v>
      </x:c>
      <x:c r="D22" s="16" t="str">
        <x:v>SYS-002</x:v>
      </x:c>
      <x:c r="E22" s="16" t="str">
        <x:v>High</x:v>
      </x:c>
      <x:c r="F22" s="16" t="str">
        <x:v>In progress</x:v>
      </x:c>
      <x:c r="G22" s="19" t="n">
        <x:v>45848.5</x:v>
      </x:c>
      <x:c r="H22" s="19" t="str"/>
      <x:c r="I22" s="16" t="str">
        <x:v>EMP-007</x:v>
      </x:c>
      <x:c r="J22" s="16" t="str">
        <x:v>Zofia Kowalski</x:v>
      </x:c>
      <x:c r="K22" s="16" t="str">
        <x:v>Export Sales</x:v>
      </x:c>
      <x:c r="L22" s="16" t="str"/>
      <x:c r="M22" s="16" t="str">
        <x:v>AGT-003</x:v>
      </x:c>
      <x:c r="N22" s="16" t="str">
        <x:v>Aisha Rahman</x:v>
      </x:c>
      <x:c r="O22" s="16" t="str">
        <x:v>KB-012</x:v>
      </x:c>
      <x:c r="P22" s="16" t="str">
        <x:v>Finance cannot complete the daily invoice batch.</x:v>
      </x:c>
      <x:c r="Q22" s="16" t="str"/>
      <x:c r="R22" s="22" t="n">
        <x:v>0.87</x:v>
      </x:c>
      <x:c r="S22" s="16" t="str">
        <x:v>Yes</x:v>
      </x:c>
      <x:c r="T22" s="16" t="str">
        <x:v>None</x:v>
      </x:c>
      <x:c r="U22" s="16" t="str"/>
      <x:c r="V22" s="16" t="str">
        <x:v>Pending</x:v>
      </x:c>
      <x:c r="W22" s="16" t="str">
        <x:v>Synthetic ticket 18; no real customer or personal data.</x:v>
      </x:c>
    </x:row>
    <x:row r="23">
      <x:c r="A23" s="16" t="str">
        <x:v>TKT-0019</x:v>
      </x:c>
      <x:c r="B23" s="16" t="str">
        <x:v>Historical: Suspicious invoice email received</x:v>
      </x:c>
      <x:c r="C23" s="16" t="str">
        <x:v>Security</x:v>
      </x:c>
      <x:c r="D23" s="16" t="str">
        <x:v>SYS-016</x:v>
      </x:c>
      <x:c r="E23" s="16" t="str">
        <x:v>Critical</x:v>
      </x:c>
      <x:c r="F23" s="16" t="str">
        <x:v>Open</x:v>
      </x:c>
      <x:c r="G23" s="19" t="n">
        <x:v>45951.5</x:v>
      </x:c>
      <x:c r="H23" s="19" t="str"/>
      <x:c r="I23" s="16" t="str">
        <x:v>EMP-024</x:v>
      </x:c>
      <x:c r="J23" s="16" t="str">
        <x:v>Fatima Tanaka</x:v>
      </x:c>
      <x:c r="K23" s="16" t="str">
        <x:v>Logistics</x:v>
      </x:c>
      <x:c r="L23" s="16" t="str">
        <x:v>AST-071</x:v>
      </x:c>
      <x:c r="M23" s="16" t="str">
        <x:v>AGT-005</x:v>
      </x:c>
      <x:c r="N23" s="16" t="str">
        <x:v>Yuki Tanaka</x:v>
      </x:c>
      <x:c r="O23" s="16" t="str">
        <x:v>KB-019</x:v>
      </x:c>
      <x:c r="P23" s="16" t="str">
        <x:v>Potential phishing attempt targeting Finance.</x:v>
      </x:c>
      <x:c r="Q23" s="16" t="str"/>
      <x:c r="R23" s="22" t="n">
        <x:v>0.88</x:v>
      </x:c>
      <x:c r="S23" s="16" t="str">
        <x:v>No</x:v>
      </x:c>
      <x:c r="T23" s="16" t="str">
        <x:v>Mandatory security escalation</x:v>
      </x:c>
      <x:c r="U23" s="16" t="str"/>
      <x:c r="V23" s="16" t="str">
        <x:v>Pending</x:v>
      </x:c>
      <x:c r="W23" s="16" t="str">
        <x:v>Synthetic ticket 19; no real customer or personal data.</x:v>
      </x:c>
    </x:row>
    <x:row r="24">
      <x:c r="A24" s="16" t="str">
        <x:v>TKT-0020</x:v>
      </x:c>
      <x:c r="B24" s="16" t="str">
        <x:v>Historical: VPN authentication fails after password change</x:v>
      </x:c>
      <x:c r="C24" s="16" t="str">
        <x:v>Network &amp; VPN</x:v>
      </x:c>
      <x:c r="D24" s="16" t="str">
        <x:v>SYS-007</x:v>
      </x:c>
      <x:c r="E24" s="16" t="str">
        <x:v>Medium</x:v>
      </x:c>
      <x:c r="F24" s="16" t="str">
        <x:v>Resolved</x:v>
      </x:c>
      <x:c r="G24" s="19" t="n">
        <x:v>45662.5</x:v>
      </x:c>
      <x:c r="H24" s="19" t="n">
        <x:v>45663.5</x:v>
      </x:c>
      <x:c r="I24" s="16" t="str">
        <x:v>EMP-041</x:v>
      </x:c>
      <x:c r="J24" s="16" t="str">
        <x:v>Marta O'Connor</x:v>
      </x:c>
      <x:c r="K24" s="16" t="str">
        <x:v>Warehouse</x:v>
      </x:c>
      <x:c r="L24" s="16" t="str">
        <x:v>AST-080</x:v>
      </x:c>
      <x:c r="M24" s="16" t="str">
        <x:v>AGT-004</x:v>
      </x:c>
      <x:c r="N24" s="16" t="str">
        <x:v>Mateusz Kowalski</x:v>
      </x:c>
      <x:c r="O24" s="16" t="str">
        <x:v>KB-002</x:v>
      </x:c>
      <x:c r="P24" s="16" t="str">
        <x:v>User cannot reach internal resources remotely.</x:v>
      </x:c>
      <x:c r="Q24" s="16" t="str">
        <x:v>Clear cached VPN credentials and authenticate with the new password.</x:v>
      </x:c>
      <x:c r="R24" s="22" t="n">
        <x:v>0.89</x:v>
      </x:c>
      <x:c r="S24" s="16" t="str">
        <x:v>Yes</x:v>
      </x:c>
      <x:c r="T24" s="16" t="str">
        <x:v>None</x:v>
      </x:c>
      <x:c r="U24" s="16" t="str">
        <x:v>Human-edited AI draft</x:v>
      </x:c>
      <x:c r="V24" s="16" t="str">
        <x:v>Approved</x:v>
      </x:c>
      <x:c r="W24" s="16" t="str">
        <x:v>Synthetic ticket 20; no real customer or personal data.</x:v>
      </x:c>
    </x:row>
    <x:row r="25">
      <x:c r="A25" s="16" t="str">
        <x:v>TKT-0021</x:v>
      </x:c>
      <x:c r="B25" s="16" t="str">
        <x:v>Historical: GrainTrack stock is not updating</x:v>
      </x:c>
      <x:c r="C25" s="16" t="str">
        <x:v>Business Applications</x:v>
      </x:c>
      <x:c r="D25" s="16" t="str">
        <x:v>SYS-003</x:v>
      </x:c>
      <x:c r="E25" s="16" t="str">
        <x:v>Critical</x:v>
      </x:c>
      <x:c r="F25" s="16" t="str">
        <x:v>Resolved</x:v>
      </x:c>
      <x:c r="G25" s="19" t="n">
        <x:v>45763.5</x:v>
      </x:c>
      <x:c r="H25" s="19" t="n">
        <x:v>45764.5</x:v>
      </x:c>
      <x:c r="I25" s="16" t="str">
        <x:v>EMP-058</x:v>
      </x:c>
      <x:c r="J25" s="16" t="str">
        <x:v>Mateusz Kaczmarek</x:v>
      </x:c>
      <x:c r="K25" s="16" t="str">
        <x:v>Quality Control</x:v>
      </x:c>
      <x:c r="L25" s="16" t="str"/>
      <x:c r="M25" s="16" t="str">
        <x:v>AGT-003</x:v>
      </x:c>
      <x:c r="N25" s="16" t="str">
        <x:v>Aisha Rahman</x:v>
      </x:c>
      <x:c r="O25" s="16" t="str">
        <x:v>KB-013</x:v>
      </x:c>
      <x:c r="P25" s="16" t="str">
        <x:v>Multiple warehouse users see stale inventory.</x:v>
      </x:c>
      <x:c r="Q25" s="16" t="str">
        <x:v>Pause manual adjustments and restore the inventory integration.</x:v>
      </x:c>
      <x:c r="R25" s="22" t="n">
        <x:v>0.9</x:v>
      </x:c>
      <x:c r="S25" s="16" t="str">
        <x:v>No</x:v>
      </x:c>
      <x:c r="T25" s="16" t="str">
        <x:v>Major incident review</x:v>
      </x:c>
      <x:c r="U25" s="16" t="str">
        <x:v>AI draft approved</x:v>
      </x:c>
      <x:c r="V25" s="16" t="str">
        <x:v>Approved</x:v>
      </x:c>
      <x:c r="W25" s="16" t="str">
        <x:v>Synthetic ticket 21; no real customer or personal data.</x:v>
      </x:c>
    </x:row>
    <x:row r="26">
      <x:c r="A26" s="16" t="str">
        <x:v>TKT-0022</x:v>
      </x:c>
      <x:c r="B26" s="16" t="str">
        <x:v>Historical: Unexpected sign-in from another country</x:v>
      </x:c>
      <x:c r="C26" s="16" t="str">
        <x:v>Security</x:v>
      </x:c>
      <x:c r="D26" s="16" t="str">
        <x:v>SYS-008</x:v>
      </x:c>
      <x:c r="E26" s="16" t="str">
        <x:v>Critical</x:v>
      </x:c>
      <x:c r="F26" s="16" t="str">
        <x:v>Resolved</x:v>
      </x:c>
      <x:c r="G26" s="19" t="n">
        <x:v>45865.5</x:v>
      </x:c>
      <x:c r="H26" s="19" t="n">
        <x:v>45866.5</x:v>
      </x:c>
      <x:c r="I26" s="16" t="str">
        <x:v>EMP-075</x:v>
      </x:c>
      <x:c r="J26" s="16" t="str">
        <x:v>Piotr Pawlak</x:v>
      </x:c>
      <x:c r="K26" s="16" t="str">
        <x:v>Procurement</x:v>
      </x:c>
      <x:c r="L26" s="16" t="str"/>
      <x:c r="M26" s="16" t="str">
        <x:v>AGT-005</x:v>
      </x:c>
      <x:c r="N26" s="16" t="str">
        <x:v>Yuki Tanaka</x:v>
      </x:c>
      <x:c r="O26" s="16" t="str">
        <x:v>KB-020</x:v>
      </x:c>
      <x:c r="P26" s="16" t="str">
        <x:v>Possible account compromise.</x:v>
      </x:c>
      <x:c r="Q26" s="16" t="str">
        <x:v>Revoke sessions, reset credentials, and open a security incident.</x:v>
      </x:c>
      <x:c r="R26" s="22" t="n">
        <x:v>0.91</x:v>
      </x:c>
      <x:c r="S26" s="16" t="str">
        <x:v>No</x:v>
      </x:c>
      <x:c r="T26" s="16" t="str">
        <x:v>Mandatory security escalation</x:v>
      </x:c>
      <x:c r="U26" s="16" t="str">
        <x:v>Human response</x:v>
      </x:c>
      <x:c r="V26" s="16" t="str">
        <x:v>Approved</x:v>
      </x:c>
      <x:c r="W26" s="16" t="str">
        <x:v>Synthetic ticket 22; no real customer or personal data.</x:v>
      </x:c>
    </x:row>
    <x:row r="27">
      <x:c r="A27" s="16" t="str">
        <x:v>TKT-0023</x:v>
      </x:c>
      <x:c r="B27" s="16" t="str">
        <x:v>Historical: MFA prompt never arrives</x:v>
      </x:c>
      <x:c r="C27" s="16" t="str">
        <x:v>Identity &amp; Access</x:v>
      </x:c>
      <x:c r="D27" s="16" t="str">
        <x:v>SYS-008</x:v>
      </x:c>
      <x:c r="E27" s="16" t="str">
        <x:v>High</x:v>
      </x:c>
      <x:c r="F27" s="16" t="str">
        <x:v>Resolved</x:v>
      </x:c>
      <x:c r="G27" s="19" t="n">
        <x:v>45941.5</x:v>
      </x:c>
      <x:c r="H27" s="19" t="n">
        <x:v>45942.5</x:v>
      </x:c>
      <x:c r="I27" s="16" t="str">
        <x:v>EMP-092</x:v>
      </x:c>
      <x:c r="J27" s="16" t="str">
        <x:v>Anna Dąbrowski</x:v>
      </x:c>
      <x:c r="K27" s="16" t="str">
        <x:v>HR &amp; Administration</x:v>
      </x:c>
      <x:c r="L27" s="16" t="str"/>
      <x:c r="M27" s="16" t="str">
        <x:v>AGT-001</x:v>
      </x:c>
      <x:c r="N27" s="16" t="str">
        <x:v>Sofia Alvarez</x:v>
      </x:c>
      <x:c r="O27" s="16" t="str">
        <x:v>KB-003</x:v>
      </x:c>
      <x:c r="P27" s="16" t="str">
        <x:v>User is blocked from all SSO applications.</x:v>
      </x:c>
      <x:c r="Q27" s="16" t="str">
        <x:v>Verify identity and re-register the approved MFA method.</x:v>
      </x:c>
      <x:c r="R27" s="22" t="n">
        <x:v>0.92</x:v>
      </x:c>
      <x:c r="S27" s="16" t="str">
        <x:v>Yes</x:v>
      </x:c>
      <x:c r="T27" s="16" t="str">
        <x:v>None</x:v>
      </x:c>
      <x:c r="U27" s="16" t="str">
        <x:v>Human response</x:v>
      </x:c>
      <x:c r="V27" s="16" t="str">
        <x:v>Approved</x:v>
      </x:c>
      <x:c r="W27" s="16" t="str">
        <x:v>Synthetic ticket 23; no real customer or personal data.</x:v>
      </x:c>
    </x:row>
    <x:row r="28">
      <x:c r="A28" s="16" t="str">
        <x:v>TKT-0024</x:v>
      </x:c>
      <x:c r="B28" s="16" t="str">
        <x:v>Historical: ExportHub access requested for new salesperson</x:v>
      </x:c>
      <x:c r="C28" s="16" t="str">
        <x:v>Service Request</x:v>
      </x:c>
      <x:c r="D28" s="16" t="str">
        <x:v>SYS-004</x:v>
      </x:c>
      <x:c r="E28" s="16" t="str">
        <x:v>Low</x:v>
      </x:c>
      <x:c r="F28" s="16" t="str">
        <x:v>Resolved</x:v>
      </x:c>
      <x:c r="G28" s="19" t="n">
        <x:v>45679.5</x:v>
      </x:c>
      <x:c r="H28" s="19" t="n">
        <x:v>45680.5</x:v>
      </x:c>
      <x:c r="I28" s="16" t="str">
        <x:v>EMP-009</x:v>
      </x:c>
      <x:c r="J28" s="16" t="str">
        <x:v>Marta O'Connor</x:v>
      </x:c>
      <x:c r="K28" s="16" t="str">
        <x:v>Export Sales</x:v>
      </x:c>
      <x:c r="L28" s="16" t="str"/>
      <x:c r="M28" s="16" t="str">
        <x:v>AGT-003</x:v>
      </x:c>
      <x:c r="N28" s="16" t="str">
        <x:v>Aisha Rahman</x:v>
      </x:c>
      <x:c r="O28" s="16" t="str">
        <x:v>KB-014</x:v>
      </x:c>
      <x:c r="P28" s="16" t="str">
        <x:v>New employee needs CRM access.</x:v>
      </x:c>
      <x:c r="Q28" s="16" t="str">
        <x:v>Obtain manager approval and assign the standard sales role.</x:v>
      </x:c>
      <x:c r="R28" s="22" t="n">
        <x:v>0.93</x:v>
      </x:c>
      <x:c r="S28" s="16" t="str">
        <x:v>Yes</x:v>
      </x:c>
      <x:c r="T28" s="16" t="str">
        <x:v>None</x:v>
      </x:c>
      <x:c r="U28" s="16" t="str">
        <x:v>Human-edited AI draft</x:v>
      </x:c>
      <x:c r="V28" s="16" t="str">
        <x:v>Approved</x:v>
      </x:c>
      <x:c r="W28" s="16" t="str">
        <x:v>Synthetic ticket 24; no real customer or personal data.</x:v>
      </x:c>
    </x:row>
    <x:row r="29">
      <x:c r="A29" s="16" t="str">
        <x:v>TKT-0025</x:v>
      </x:c>
      <x:c r="B29" s="16" t="str">
        <x:v>Historical: Company laptop lost during travel</x:v>
      </x:c>
      <x:c r="C29" s="16" t="str">
        <x:v>Security</x:v>
      </x:c>
      <x:c r="D29" s="16" t="str">
        <x:v>SYS-015</x:v>
      </x:c>
      <x:c r="E29" s="16" t="str">
        <x:v>Critical</x:v>
      </x:c>
      <x:c r="F29" s="16" t="str">
        <x:v>Closed</x:v>
      </x:c>
      <x:c r="G29" s="19" t="n">
        <x:v>45753.5</x:v>
      </x:c>
      <x:c r="H29" s="19" t="n">
        <x:v>45754.5</x:v>
      </x:c>
      <x:c r="I29" s="16" t="str">
        <x:v>EMP-026</x:v>
      </x:c>
      <x:c r="J29" s="16" t="str">
        <x:v>Piotr Chen</x:v>
      </x:c>
      <x:c r="K29" s="16" t="str">
        <x:v>Logistics</x:v>
      </x:c>
      <x:c r="L29" s="16" t="str">
        <x:v>AST-025</x:v>
      </x:c>
      <x:c r="M29" s="16" t="str">
        <x:v>AGT-005</x:v>
      </x:c>
      <x:c r="N29" s="16" t="str">
        <x:v>Yuki Tanaka</x:v>
      </x:c>
      <x:c r="O29" s="16" t="str">
        <x:v>KB-021</x:v>
      </x:c>
      <x:c r="P29" s="16" t="str">
        <x:v>Managed device may be exposed.</x:v>
      </x:c>
      <x:c r="Q29" s="16" t="str">
        <x:v>Remote lock the device and initiate the security response procedure.</x:v>
      </x:c>
      <x:c r="R29" s="22" t="n">
        <x:v>0.94</x:v>
      </x:c>
      <x:c r="S29" s="16" t="str">
        <x:v>No</x:v>
      </x:c>
      <x:c r="T29" s="16" t="str">
        <x:v>Mandatory security escalation</x:v>
      </x:c>
      <x:c r="U29" s="16" t="str">
        <x:v>Human response</x:v>
      </x:c>
      <x:c r="V29" s="16" t="str">
        <x:v>Approved</x:v>
      </x:c>
      <x:c r="W29" s="16" t="str">
        <x:v>Synthetic ticket 25; no real customer or personal data.</x:v>
      </x:c>
    </x:row>
    <x:row r="30">
      <x:c r="A30" s="16" t="str">
        <x:v>TKT-0026</x:v>
      </x:c>
      <x:c r="B30" s="16" t="str">
        <x:v>Historical: Account locked after repeated sign-in</x:v>
      </x:c>
      <x:c r="C30" s="16" t="str">
        <x:v>Identity &amp; Access</x:v>
      </x:c>
      <x:c r="D30" s="16" t="str">
        <x:v>SYS-008</x:v>
      </x:c>
      <x:c r="E30" s="16" t="str">
        <x:v>Medium</x:v>
      </x:c>
      <x:c r="F30" s="16" t="str">
        <x:v>Closed</x:v>
      </x:c>
      <x:c r="G30" s="19" t="n">
        <x:v>45855.5</x:v>
      </x:c>
      <x:c r="H30" s="19" t="n">
        <x:v>45856.5</x:v>
      </x:c>
      <x:c r="I30" s="16" t="str">
        <x:v>EMP-043</x:v>
      </x:c>
      <x:c r="J30" s="16" t="str">
        <x:v>Carlos Wójcik</x:v>
      </x:c>
      <x:c r="K30" s="16" t="str">
        <x:v>Warehouse</x:v>
      </x:c>
      <x:c r="L30" s="16" t="str"/>
      <x:c r="M30" s="16" t="str">
        <x:v>AGT-001</x:v>
      </x:c>
      <x:c r="N30" s="16" t="str">
        <x:v>Sofia Alvarez</x:v>
      </x:c>
      <x:c r="O30" s="16" t="str">
        <x:v>KB-004</x:v>
      </x:c>
      <x:c r="P30" s="16" t="str">
        <x:v>User cannot sign in to company systems.</x:v>
      </x:c>
      <x:c r="Q30" s="16" t="str">
        <x:v>Identify lockout source, verify identity, and unlock the account.</x:v>
      </x:c>
      <x:c r="R30" s="22" t="n">
        <x:v>0.95</x:v>
      </x:c>
      <x:c r="S30" s="16" t="str">
        <x:v>Yes</x:v>
      </x:c>
      <x:c r="T30" s="16" t="str">
        <x:v>None</x:v>
      </x:c>
      <x:c r="U30" s="16" t="str">
        <x:v>Human response</x:v>
      </x:c>
      <x:c r="V30" s="16" t="str">
        <x:v>Approved</x:v>
      </x:c>
      <x:c r="W30" s="16" t="str">
        <x:v>Synthetic ticket 26; no real customer or personal data.</x:v>
      </x:c>
    </x:row>
    <x:row r="31">
      <x:c r="A31" s="16" t="str">
        <x:v>TKT-0027</x:v>
      </x:c>
      <x:c r="B31" s="16" t="str">
        <x:v>Historical: CertiRice rejects quality certificate</x:v>
      </x:c>
      <x:c r="C31" s="16" t="str">
        <x:v>Business Applications</x:v>
      </x:c>
      <x:c r="D31" s="16" t="str">
        <x:v>SYS-005</x:v>
      </x:c>
      <x:c r="E31" s="16" t="str">
        <x:v>Medium</x:v>
      </x:c>
      <x:c r="F31" s="16" t="str">
        <x:v>Waiting for customer</x:v>
      </x:c>
      <x:c r="G31" s="19" t="n">
        <x:v>45931.5</x:v>
      </x:c>
      <x:c r="H31" s="19" t="str"/>
      <x:c r="I31" s="16" t="str">
        <x:v>EMP-060</x:v>
      </x:c>
      <x:c r="J31" s="16" t="str">
        <x:v>Daniel Nowak</x:v>
      </x:c>
      <x:c r="K31" s="16" t="str">
        <x:v>Quality Control</x:v>
      </x:c>
      <x:c r="L31" s="16" t="str"/>
      <x:c r="M31" s="16" t="str">
        <x:v>AGT-003</x:v>
      </x:c>
      <x:c r="N31" s="16" t="str">
        <x:v>Aisha Rahman</x:v>
      </x:c>
      <x:c r="O31" s="16" t="str">
        <x:v>KB-015</x:v>
      </x:c>
      <x:c r="P31" s="16" t="str">
        <x:v>Certificate cannot be attached to a shipment.</x:v>
      </x:c>
      <x:c r="Q31" s="16" t="str"/>
      <x:c r="R31" s="22" t="n">
        <x:v>0.96</x:v>
      </x:c>
      <x:c r="S31" s="16" t="str">
        <x:v>Yes</x:v>
      </x:c>
      <x:c r="T31" s="16" t="str">
        <x:v>None</x:v>
      </x:c>
      <x:c r="U31" s="16" t="str"/>
      <x:c r="V31" s="16" t="str">
        <x:v>Pending</x:v>
      </x:c>
      <x:c r="W31" s="16" t="str">
        <x:v>Synthetic ticket 27; no real customer or personal data.</x:v>
      </x:c>
    </x:row>
    <x:row r="32">
      <x:c r="A32" s="16" t="str">
        <x:v>TKT-0028</x:v>
      </x:c>
      <x:c r="B32" s="16" t="str">
        <x:v>Historical: Approved software installation request</x:v>
      </x:c>
      <x:c r="C32" s="16" t="str">
        <x:v>Service Request</x:v>
      </x:c>
      <x:c r="D32" s="16" t="str">
        <x:v>SYS-015</x:v>
      </x:c>
      <x:c r="E32" s="16" t="str">
        <x:v>Low</x:v>
      </x:c>
      <x:c r="F32" s="16" t="str">
        <x:v>In progress</x:v>
      </x:c>
      <x:c r="G32" s="19" t="n">
        <x:v>45669.5</x:v>
      </x:c>
      <x:c r="H32" s="19" t="str"/>
      <x:c r="I32" s="16" t="str">
        <x:v>EMP-077</x:v>
      </x:c>
      <x:c r="J32" s="16" t="str">
        <x:v>Karolina Zając</x:v>
      </x:c>
      <x:c r="K32" s="16" t="str">
        <x:v>Procurement</x:v>
      </x:c>
      <x:c r="L32" s="16" t="str"/>
      <x:c r="M32" s="16" t="str">
        <x:v>AGT-002</x:v>
      </x:c>
      <x:c r="N32" s="16" t="str">
        <x:v>Liam O'Connor</x:v>
      </x:c>
      <x:c r="O32" s="16" t="str">
        <x:v>KB-022</x:v>
      </x:c>
      <x:c r="P32" s="16" t="str">
        <x:v>Employee requires an approved productivity tool.</x:v>
      </x:c>
      <x:c r="Q32" s="16" t="str"/>
      <x:c r="R32" s="22" t="n">
        <x:v>0.97</x:v>
      </x:c>
      <x:c r="S32" s="16" t="str">
        <x:v>Yes</x:v>
      </x:c>
      <x:c r="T32" s="16" t="str">
        <x:v>None</x:v>
      </x:c>
      <x:c r="U32" s="16" t="str"/>
      <x:c r="V32" s="16" t="str">
        <x:v>Pending</x:v>
      </x:c>
      <x:c r="W32" s="16" t="str">
        <x:v>Synthetic ticket 28; no real customer or personal data.</x:v>
      </x:c>
    </x:row>
    <x:row r="33">
      <x:c r="A33" s="16" t="str">
        <x:v>TKT-0029</x:v>
      </x:c>
      <x:c r="B33" s="16" t="str">
        <x:v>Historical: Warehouse scanner will not sync</x:v>
      </x:c>
      <x:c r="C33" s="16" t="str">
        <x:v>Hardware</x:v>
      </x:c>
      <x:c r="D33" s="16" t="str">
        <x:v>SYS-003</x:v>
      </x:c>
      <x:c r="E33" s="16" t="str">
        <x:v>High</x:v>
      </x:c>
      <x:c r="F33" s="16" t="str">
        <x:v>Open</x:v>
      </x:c>
      <x:c r="G33" s="19" t="n">
        <x:v>45770.5</x:v>
      </x:c>
      <x:c r="H33" s="19" t="str"/>
      <x:c r="I33" s="16" t="str">
        <x:v>EMP-094</x:v>
      </x:c>
      <x:c r="J33" s="16" t="str">
        <x:v>Maya Lewandowski</x:v>
      </x:c>
      <x:c r="K33" s="16" t="str">
        <x:v>HR &amp; Administration</x:v>
      </x:c>
      <x:c r="L33" s="16" t="str"/>
      <x:c r="M33" s="16" t="str">
        <x:v>AGT-002</x:v>
      </x:c>
      <x:c r="N33" s="16" t="str">
        <x:v>Liam O'Connor</x:v>
      </x:c>
      <x:c r="O33" s="16" t="str">
        <x:v>KB-010</x:v>
      </x:c>
      <x:c r="P33" s="16" t="str">
        <x:v>Picking activity is delayed for one operator.</x:v>
      </x:c>
      <x:c r="Q33" s="16" t="str"/>
      <x:c r="R33" s="22" t="n">
        <x:v>0.69</x:v>
      </x:c>
      <x:c r="S33" s="16" t="str">
        <x:v>No</x:v>
      </x:c>
      <x:c r="T33" s="16" t="str">
        <x:v>Low confidence</x:v>
      </x:c>
      <x:c r="U33" s="16" t="str"/>
      <x:c r="V33" s="16" t="str">
        <x:v>Pending</x:v>
      </x:c>
      <x:c r="W33" s="16" t="str">
        <x:v>Synthetic ticket 29; no real customer or personal data.</x:v>
      </x:c>
    </x:row>
    <x:row r="34">
      <x:c r="A34" s="16" t="str">
        <x:v>TKT-0030</x:v>
      </x:c>
      <x:c r="B34" s="16" t="str">
        <x:v>Historical: ShipLink cannot find container</x:v>
      </x:c>
      <x:c r="C34" s="16" t="str">
        <x:v>Business Applications</x:v>
      </x:c>
      <x:c r="D34" s="16" t="str">
        <x:v>SYS-006</x:v>
      </x:c>
      <x:c r="E34" s="16" t="str">
        <x:v>Medium</x:v>
      </x:c>
      <x:c r="F34" s="16" t="str">
        <x:v>Resolved</x:v>
      </x:c>
      <x:c r="G34" s="19" t="n">
        <x:v>45845.5</x:v>
      </x:c>
      <x:c r="H34" s="19" t="n">
        <x:v>45846.5</x:v>
      </x:c>
      <x:c r="I34" s="16" t="str">
        <x:v>EMP-011</x:v>
      </x:c>
      <x:c r="J34" s="16" t="str">
        <x:v>Carlos Wójcik</x:v>
      </x:c>
      <x:c r="K34" s="16" t="str">
        <x:v>Export Sales</x:v>
      </x:c>
      <x:c r="L34" s="16" t="str"/>
      <x:c r="M34" s="16" t="str">
        <x:v>AGT-003</x:v>
      </x:c>
      <x:c r="N34" s="16" t="str">
        <x:v>Aisha Rahman</x:v>
      </x:c>
      <x:c r="O34" s="16" t="str">
        <x:v>KB-016</x:v>
      </x:c>
      <x:c r="P34" s="16" t="str">
        <x:v>Logistics cannot view carrier tracking.</x:v>
      </x:c>
      <x:c r="Q34" s="16" t="str">
        <x:v>Validate the container reference and refresh the carrier integration.</x:v>
      </x:c>
      <x:c r="R34" s="22" t="n">
        <x:v>0.7</x:v>
      </x:c>
      <x:c r="S34" s="16" t="str">
        <x:v>No</x:v>
      </x:c>
      <x:c r="T34" s="16" t="str">
        <x:v>Low confidence</x:v>
      </x:c>
      <x:c r="U34" s="16" t="str">
        <x:v>AI draft approved</x:v>
      </x:c>
      <x:c r="V34" s="16" t="str">
        <x:v>Approved</x:v>
      </x:c>
      <x:c r="W34" s="16" t="str">
        <x:v>Synthetic ticket 30; no real customer or personal data.</x:v>
      </x:c>
    </x:row>
    <x:row r="35">
      <x:c r="A35" s="16" t="str">
        <x:v>TKT-0031</x:v>
      </x:c>
      <x:c r="B35" s="16" t="str">
        <x:v>Historical: New employee IT onboarding</x:v>
      </x:c>
      <x:c r="C35" s="16" t="str">
        <x:v>Service Request</x:v>
      </x:c>
      <x:c r="D35" s="16" t="str">
        <x:v>SYS-008</x:v>
      </x:c>
      <x:c r="E35" s="16" t="str">
        <x:v>Medium</x:v>
      </x:c>
      <x:c r="F35" s="16" t="str">
        <x:v>Resolved</x:v>
      </x:c>
      <x:c r="G35" s="19" t="n">
        <x:v>45948.5</x:v>
      </x:c>
      <x:c r="H35" s="19" t="n">
        <x:v>45949.5</x:v>
      </x:c>
      <x:c r="I35" s="16" t="str">
        <x:v>EMP-028</x:v>
      </x:c>
      <x:c r="J35" s="16" t="str">
        <x:v>Karolina Krawczyk</x:v>
      </x:c>
      <x:c r="K35" s="16" t="str">
        <x:v>Logistics</x:v>
      </x:c>
      <x:c r="L35" s="16" t="str"/>
      <x:c r="M35" s="16" t="str">
        <x:v>AGT-001</x:v>
      </x:c>
      <x:c r="N35" s="16" t="str">
        <x:v>Sofia Alvarez</x:v>
      </x:c>
      <x:c r="O35" s="16" t="str">
        <x:v>KB-023</x:v>
      </x:c>
      <x:c r="P35" s="16" t="str">
        <x:v>New starter requires baseline equipment and access.</x:v>
      </x:c>
      <x:c r="Q35" s="16" t="str">
        <x:v>Provision baseline account, MFA, groups, and assigned device.</x:v>
      </x:c>
      <x:c r="R35" s="22" t="n">
        <x:v>0.71</x:v>
      </x:c>
      <x:c r="S35" s="16" t="str">
        <x:v>No</x:v>
      </x:c>
      <x:c r="T35" s="16" t="str">
        <x:v>Low confidence</x:v>
      </x:c>
      <x:c r="U35" s="16" t="str">
        <x:v>Human response</x:v>
      </x:c>
      <x:c r="V35" s="16" t="str">
        <x:v>Approved</x:v>
      </x:c>
      <x:c r="W35" s="16" t="str">
        <x:v>Synthetic ticket 31; no real customer or personal data.</x:v>
      </x:c>
    </x:row>
    <x:row r="36">
      <x:c r="A36" s="16" t="str">
        <x:v>TKT-0032</x:v>
      </x:c>
      <x:c r="B36" s="16" t="str">
        <x:v>Historical: Label printer produces blank labels</x:v>
      </x:c>
      <x:c r="C36" s="16" t="str">
        <x:v>Hardware</x:v>
      </x:c>
      <x:c r="D36" s="16" t="str">
        <x:v>SYS-013</x:v>
      </x:c>
      <x:c r="E36" s="16" t="str">
        <x:v>High</x:v>
      </x:c>
      <x:c r="F36" s="16" t="str">
        <x:v>Resolved</x:v>
      </x:c>
      <x:c r="G36" s="19" t="n">
        <x:v>45659.5</x:v>
      </x:c>
      <x:c r="H36" s="19" t="n">
        <x:v>45660.5</x:v>
      </x:c>
      <x:c r="I36" s="16" t="str">
        <x:v>EMP-045</x:v>
      </x:c>
      <x:c r="J36" s="16" t="str">
        <x:v>Nadia Dąbrowski</x:v>
      </x:c>
      <x:c r="K36" s="16" t="str">
        <x:v>Warehouse</x:v>
      </x:c>
      <x:c r="L36" s="16" t="str">
        <x:v>AST-012</x:v>
      </x:c>
      <x:c r="M36" s="16" t="str">
        <x:v>AGT-002</x:v>
      </x:c>
      <x:c r="N36" s="16" t="str">
        <x:v>Liam O'Connor</x:v>
      </x:c>
      <x:c r="O36" s="16" t="str">
        <x:v>KB-009</x:v>
      </x:c>
      <x:c r="P36" s="16" t="str">
        <x:v>Outbound pallet labeling is delayed.</x:v>
      </x:c>
      <x:c r="Q36" s="16" t="str">
        <x:v>Reload media, calibrate printer, and restart the managed print queue.</x:v>
      </x:c>
      <x:c r="R36" s="22" t="n">
        <x:v>0.72</x:v>
      </x:c>
      <x:c r="S36" s="16" t="str">
        <x:v>No</x:v>
      </x:c>
      <x:c r="T36" s="16" t="str">
        <x:v>Low confidence</x:v>
      </x:c>
      <x:c r="U36" s="16" t="str">
        <x:v>Human-edited AI draft</x:v>
      </x:c>
      <x:c r="V36" s="16" t="str">
        <x:v>Approved</x:v>
      </x:c>
      <x:c r="W36" s="16" t="str">
        <x:v>Synthetic ticket 32; no real customer or personal data.</x:v>
      </x:c>
    </x:row>
    <x:row r="37">
      <x:c r="A37" s="16" t="str">
        <x:v>TKT-0033</x:v>
      </x:c>
      <x:c r="B37" s="16" t="str">
        <x:v>Historical: Deleted pricing workbook in SharePoint</x:v>
      </x:c>
      <x:c r="C37" s="16" t="str">
        <x:v>Collaboration</x:v>
      </x:c>
      <x:c r="D37" s="16" t="str">
        <x:v>SYS-010</x:v>
      </x:c>
      <x:c r="E37" s="16" t="str">
        <x:v>High</x:v>
      </x:c>
      <x:c r="F37" s="16" t="str">
        <x:v>Resolved</x:v>
      </x:c>
      <x:c r="G37" s="19" t="n">
        <x:v>45760.5</x:v>
      </x:c>
      <x:c r="H37" s="19" t="n">
        <x:v>45761.5</x:v>
      </x:c>
      <x:c r="I37" s="16" t="str">
        <x:v>EMP-062</x:v>
      </x:c>
      <x:c r="J37" s="16" t="str">
        <x:v>Noah Tanaka</x:v>
      </x:c>
      <x:c r="K37" s="16" t="str">
        <x:v>Quality Control</x:v>
      </x:c>
      <x:c r="L37" s="16" t="str"/>
      <x:c r="M37" s="16" t="str">
        <x:v>AGT-003</x:v>
      </x:c>
      <x:c r="N37" s="16" t="str">
        <x:v>Aisha Rahman</x:v>
      </x:c>
      <x:c r="O37" s="16" t="str">
        <x:v>KB-017</x:v>
      </x:c>
      <x:c r="P37" s="16" t="str">
        <x:v>Sales team needs a recently deleted file.</x:v>
      </x:c>
      <x:c r="Q37" s="16" t="str">
        <x:v>Restore the correct retained version from the SharePoint recycle bin.</x:v>
      </x:c>
      <x:c r="R37" s="22" t="n">
        <x:v>0.73</x:v>
      </x:c>
      <x:c r="S37" s="16" t="str">
        <x:v>No</x:v>
      </x:c>
      <x:c r="T37" s="16" t="str">
        <x:v>Low confidence</x:v>
      </x:c>
      <x:c r="U37" s="16" t="str">
        <x:v>AI draft approved</x:v>
      </x:c>
      <x:c r="V37" s="16" t="str">
        <x:v>Approved</x:v>
      </x:c>
      <x:c r="W37" s="16" t="str">
        <x:v>Synthetic ticket 33; no real customer or personal data.</x:v>
      </x:c>
    </x:row>
    <x:row r="38">
      <x:c r="A38" s="16" t="str">
        <x:v>TKT-0034</x:v>
      </x:c>
      <x:c r="B38" s="16" t="str">
        <x:v>Historical: Employee offboarding request</x:v>
      </x:c>
      <x:c r="C38" s="16" t="str">
        <x:v>Security</x:v>
      </x:c>
      <x:c r="D38" s="16" t="str">
        <x:v>SYS-008</x:v>
      </x:c>
      <x:c r="E38" s="16" t="str">
        <x:v>High</x:v>
      </x:c>
      <x:c r="F38" s="16" t="str">
        <x:v>Resolved</x:v>
      </x:c>
      <x:c r="G38" s="19" t="n">
        <x:v>45862.5</x:v>
      </x:c>
      <x:c r="H38" s="19" t="n">
        <x:v>45863.5</x:v>
      </x:c>
      <x:c r="I38" s="16" t="str">
        <x:v>EMP-079</x:v>
      </x:c>
      <x:c r="J38" s="16" t="str">
        <x:v>Yuki Garcia</x:v>
      </x:c>
      <x:c r="K38" s="16" t="str">
        <x:v>Procurement</x:v>
      </x:c>
      <x:c r="L38" s="16" t="str"/>
      <x:c r="M38" s="16" t="str">
        <x:v>AGT-005</x:v>
      </x:c>
      <x:c r="N38" s="16" t="str">
        <x:v>Yuki Tanaka</x:v>
      </x:c>
      <x:c r="O38" s="16" t="str">
        <x:v>KB-024</x:v>
      </x:c>
      <x:c r="P38" s="16" t="str">
        <x:v>Departing employee access must end on schedule.</x:v>
      </x:c>
      <x:c r="Q38" s="16" t="str">
        <x:v>Disable access, revoke sessions, preserve data, and recover assets.</x:v>
      </x:c>
      <x:c r="R38" s="22" t="n">
        <x:v>0.74</x:v>
      </x:c>
      <x:c r="S38" s="16" t="str">
        <x:v>No</x:v>
      </x:c>
      <x:c r="T38" s="16" t="str">
        <x:v>Mandatory security escalation</x:v>
      </x:c>
      <x:c r="U38" s="16" t="str">
        <x:v>Human response</x:v>
      </x:c>
      <x:c r="V38" s="16" t="str">
        <x:v>Approved</x:v>
      </x:c>
      <x:c r="W38" s="16" t="str">
        <x:v>Synthetic ticket 34; no real customer or personal data.</x:v>
      </x:c>
    </x:row>
    <x:row r="39">
      <x:c r="A39" s="16" t="str">
        <x:v>TKT-0035</x:v>
      </x:c>
      <x:c r="B39" s="16" t="str">
        <x:v>Historical: Laptop screen flickers through dock</x:v>
      </x:c>
      <x:c r="C39" s="16" t="str">
        <x:v>Hardware</x:v>
      </x:c>
      <x:c r="D39" s="16" t="str">
        <x:v>SYS-015</x:v>
      </x:c>
      <x:c r="E39" s="16" t="str">
        <x:v>Low</x:v>
      </x:c>
      <x:c r="F39" s="16" t="str">
        <x:v>Closed</x:v>
      </x:c>
      <x:c r="G39" s="19" t="n">
        <x:v>45938.5</x:v>
      </x:c>
      <x:c r="H39" s="19" t="n">
        <x:v>45939.5</x:v>
      </x:c>
      <x:c r="I39" s="16" t="str">
        <x:v>EMP-096</x:v>
      </x:c>
      <x:c r="J39" s="16" t="str">
        <x:v>Aleksandra Alvarez</x:v>
      </x:c>
      <x:c r="K39" s="16" t="str">
        <x:v>IT</x:v>
      </x:c>
      <x:c r="L39" s="16" t="str">
        <x:v>AST-015</x:v>
      </x:c>
      <x:c r="M39" s="16" t="str">
        <x:v>AGT-002</x:v>
      </x:c>
      <x:c r="N39" s="16" t="str">
        <x:v>Liam O'Connor</x:v>
      </x:c>
      <x:c r="O39" s="16" t="str">
        <x:v>KB-008</x:v>
      </x:c>
      <x:c r="P39" s="16" t="str">
        <x:v>Employee can work using the laptop display.</x:v>
      </x:c>
      <x:c r="Q39" s="16" t="str">
        <x:v>Update dock firmware and replace the display cable.</x:v>
      </x:c>
      <x:c r="R39" s="22" t="n">
        <x:v>0.75</x:v>
      </x:c>
      <x:c r="S39" s="16" t="str">
        <x:v>No</x:v>
      </x:c>
      <x:c r="T39" s="16" t="str">
        <x:v>Low confidence</x:v>
      </x:c>
      <x:c r="U39" s="16" t="str">
        <x:v>Human response</x:v>
      </x:c>
      <x:c r="V39" s="16" t="str">
        <x:v>Approved</x:v>
      </x:c>
      <x:c r="W39" s="16" t="str">
        <x:v>Synthetic ticket 35; no real customer or personal data.</x:v>
      </x:c>
    </x:row>
    <x:row r="40">
      <x:c r="A40" s="16" t="str">
        <x:v>TKT-0036</x:v>
      </x:c>
      <x:c r="B40" s="16" t="str">
        <x:v>Historical: Teams microphone not detected</x:v>
      </x:c>
      <x:c r="C40" s="16" t="str">
        <x:v>Collaboration</x:v>
      </x:c>
      <x:c r="D40" s="16" t="str">
        <x:v>SYS-011</x:v>
      </x:c>
      <x:c r="E40" s="16" t="str">
        <x:v>Low</x:v>
      </x:c>
      <x:c r="F40" s="16" t="str">
        <x:v>Closed</x:v>
      </x:c>
      <x:c r="G40" s="19" t="n">
        <x:v>45676.5</x:v>
      </x:c>
      <x:c r="H40" s="19" t="n">
        <x:v>45677.5</x:v>
      </x:c>
      <x:c r="I40" s="16" t="str">
        <x:v>EMP-013</x:v>
      </x:c>
      <x:c r="J40" s="16" t="str">
        <x:v>Nadia Dąbrowski</x:v>
      </x:c>
      <x:c r="K40" s="16" t="str">
        <x:v>Export Sales</x:v>
      </x:c>
      <x:c r="L40" s="16" t="str"/>
      <x:c r="M40" s="16" t="str">
        <x:v>AGT-002</x:v>
      </x:c>
      <x:c r="N40" s="16" t="str">
        <x:v>Liam O'Connor</x:v>
      </x:c>
      <x:c r="O40" s="16" t="str">
        <x:v>KB-018</x:v>
      </x:c>
      <x:c r="P40" s="16" t="str">
        <x:v>User cannot speak during calls.</x:v>
      </x:c>
      <x:c r="Q40" s="16" t="str">
        <x:v>Select the correct device and restore OS microphone permission.</x:v>
      </x:c>
      <x:c r="R40" s="22" t="n">
        <x:v>0.76</x:v>
      </x:c>
      <x:c r="S40" s="16" t="str">
        <x:v>No</x:v>
      </x:c>
      <x:c r="T40" s="16" t="str">
        <x:v>Low confidence</x:v>
      </x:c>
      <x:c r="U40" s="16" t="str">
        <x:v>Human-edited AI draft</x:v>
      </x:c>
      <x:c r="V40" s="16" t="str">
        <x:v>Corrected</x:v>
      </x:c>
      <x:c r="W40" s="16" t="str">
        <x:v>Synthetic ticket 36; no real customer or personal data.</x:v>
      </x:c>
    </x:row>
    <x:row r="41">
      <x:c r="A41" s="16" t="str">
        <x:v>TKT-0037</x:v>
      </x:c>
      <x:c r="B41" s="16" t="str">
        <x:v>Historical: Warehouse Wi-Fi unavailable</x:v>
      </x:c>
      <x:c r="C41" s="16" t="str">
        <x:v>Network &amp; VPN</x:v>
      </x:c>
      <x:c r="D41" s="16" t="str">
        <x:v>SYS-014</x:v>
      </x:c>
      <x:c r="E41" s="16" t="str">
        <x:v>Critical</x:v>
      </x:c>
      <x:c r="F41" s="16" t="str">
        <x:v>Waiting for customer</x:v>
      </x:c>
      <x:c r="G41" s="19" t="n">
        <x:v>45750.5</x:v>
      </x:c>
      <x:c r="H41" s="19" t="str"/>
      <x:c r="I41" s="16" t="str">
        <x:v>EMP-030</x:v>
      </x:c>
      <x:c r="J41" s="16" t="str">
        <x:v>Yuki Pawlak</x:v>
      </x:c>
      <x:c r="K41" s="16" t="str">
        <x:v>Logistics</x:v>
      </x:c>
      <x:c r="L41" s="16" t="str"/>
      <x:c r="M41" s="16" t="str">
        <x:v>AGT-004</x:v>
      </x:c>
      <x:c r="N41" s="16" t="str">
        <x:v>Mateusz Kowalski</x:v>
      </x:c>
      <x:c r="O41" s="16" t="str">
        <x:v>KB-025</x:v>
      </x:c>
      <x:c r="P41" s="16" t="str">
        <x:v>Multiple warehouse devices are offline.</x:v>
      </x:c>
      <x:c r="Q41" s="16" t="str"/>
      <x:c r="R41" s="22" t="n">
        <x:v>0.77</x:v>
      </x:c>
      <x:c r="S41" s="16" t="str">
        <x:v>No</x:v>
      </x:c>
      <x:c r="T41" s="16" t="str">
        <x:v>Major incident review</x:v>
      </x:c>
      <x:c r="U41" s="16" t="str"/>
      <x:c r="V41" s="16" t="str">
        <x:v>Pending</x:v>
      </x:c>
      <x:c r="W41" s="16" t="str">
        <x:v>Synthetic ticket 37; no real customer or personal data.</x:v>
      </x:c>
    </x:row>
    <x:row r="42">
      <x:c r="A42" s="16" t="str">
        <x:v>TKT-0038</x:v>
      </x:c>
      <x:c r="B42" s="16" t="str">
        <x:v>Historical: RiceFlow invoice export fails</x:v>
      </x:c>
      <x:c r="C42" s="16" t="str">
        <x:v>Business Applications</x:v>
      </x:c>
      <x:c r="D42" s="16" t="str">
        <x:v>SYS-002</x:v>
      </x:c>
      <x:c r="E42" s="16" t="str">
        <x:v>High</x:v>
      </x:c>
      <x:c r="F42" s="16" t="str">
        <x:v>In progress</x:v>
      </x:c>
      <x:c r="G42" s="19" t="n">
        <x:v>45852.5</x:v>
      </x:c>
      <x:c r="H42" s="19" t="str"/>
      <x:c r="I42" s="16" t="str">
        <x:v>EMP-047</x:v>
      </x:c>
      <x:c r="J42" s="16" t="str">
        <x:v>Hanna Lewandowski</x:v>
      </x:c>
      <x:c r="K42" s="16" t="str">
        <x:v>Warehouse</x:v>
      </x:c>
      <x:c r="L42" s="16" t="str"/>
      <x:c r="M42" s="16" t="str">
        <x:v>AGT-003</x:v>
      </x:c>
      <x:c r="N42" s="16" t="str">
        <x:v>Aisha Rahman</x:v>
      </x:c>
      <x:c r="O42" s="16" t="str">
        <x:v>KB-012</x:v>
      </x:c>
      <x:c r="P42" s="16" t="str">
        <x:v>Finance cannot complete the daily invoice batch.</x:v>
      </x:c>
      <x:c r="Q42" s="16" t="str"/>
      <x:c r="R42" s="22" t="n">
        <x:v>0.78</x:v>
      </x:c>
      <x:c r="S42" s="16" t="str">
        <x:v>No</x:v>
      </x:c>
      <x:c r="T42" s="16" t="str">
        <x:v>Low confidence</x:v>
      </x:c>
      <x:c r="U42" s="16" t="str"/>
      <x:c r="V42" s="16" t="str">
        <x:v>Pending</x:v>
      </x:c>
      <x:c r="W42" s="16" t="str">
        <x:v>Synthetic ticket 38; no real customer or personal data.</x:v>
      </x:c>
    </x:row>
    <x:row r="43">
      <x:c r="A43" s="16" t="str">
        <x:v>TKT-0039</x:v>
      </x:c>
      <x:c r="B43" s="16" t="str">
        <x:v>Historical: Suspicious invoice email received</x:v>
      </x:c>
      <x:c r="C43" s="16" t="str">
        <x:v>Security</x:v>
      </x:c>
      <x:c r="D43" s="16" t="str">
        <x:v>SYS-016</x:v>
      </x:c>
      <x:c r="E43" s="16" t="str">
        <x:v>Critical</x:v>
      </x:c>
      <x:c r="F43" s="16" t="str">
        <x:v>Open</x:v>
      </x:c>
      <x:c r="G43" s="19" t="n">
        <x:v>45955.5</x:v>
      </x:c>
      <x:c r="H43" s="19" t="str"/>
      <x:c r="I43" s="16" t="str">
        <x:v>EMP-064</x:v>
      </x:c>
      <x:c r="J43" s="16" t="str">
        <x:v>Aleksandra Alvarez</x:v>
      </x:c>
      <x:c r="K43" s="16" t="str">
        <x:v>Finance</x:v>
      </x:c>
      <x:c r="L43" s="16" t="str"/>
      <x:c r="M43" s="16" t="str">
        <x:v>AGT-005</x:v>
      </x:c>
      <x:c r="N43" s="16" t="str">
        <x:v>Yuki Tanaka</x:v>
      </x:c>
      <x:c r="O43" s="16" t="str">
        <x:v>KB-019</x:v>
      </x:c>
      <x:c r="P43" s="16" t="str">
        <x:v>Potential phishing attempt targeting Finance.</x:v>
      </x:c>
      <x:c r="Q43" s="16" t="str"/>
      <x:c r="R43" s="22" t="n">
        <x:v>0.79</x:v>
      </x:c>
      <x:c r="S43" s="16" t="str">
        <x:v>No</x:v>
      </x:c>
      <x:c r="T43" s="16" t="str">
        <x:v>Mandatory security escalation</x:v>
      </x:c>
      <x:c r="U43" s="16" t="str"/>
      <x:c r="V43" s="16" t="str">
        <x:v>Pending</x:v>
      </x:c>
      <x:c r="W43" s="16" t="str">
        <x:v>Synthetic ticket 39; no real customer or personal data.</x:v>
      </x:c>
    </x:row>
    <x:row r="44">
      <x:c r="A44" s="16" t="str">
        <x:v>TKT-0040</x:v>
      </x:c>
      <x:c r="B44" s="16" t="str">
        <x:v>Historical: VPN authentication fails after password change</x:v>
      </x:c>
      <x:c r="C44" s="16" t="str">
        <x:v>Network &amp; VPN</x:v>
      </x:c>
      <x:c r="D44" s="16" t="str">
        <x:v>SYS-007</x:v>
      </x:c>
      <x:c r="E44" s="16" t="str">
        <x:v>Medium</x:v>
      </x:c>
      <x:c r="F44" s="16" t="str">
        <x:v>Resolved</x:v>
      </x:c>
      <x:c r="G44" s="19" t="n">
        <x:v>45666.5</x:v>
      </x:c>
      <x:c r="H44" s="19" t="n">
        <x:v>45667.5</x:v>
      </x:c>
      <x:c r="I44" s="16" t="str">
        <x:v>EMP-081</x:v>
      </x:c>
      <x:c r="J44" s="16" t="str">
        <x:v>Hanna Mazur</x:v>
      </x:c>
      <x:c r="K44" s="16" t="str">
        <x:v>Operations</x:v>
      </x:c>
      <x:c r="L44" s="16" t="str">
        <x:v>AST-060</x:v>
      </x:c>
      <x:c r="M44" s="16" t="str">
        <x:v>AGT-004</x:v>
      </x:c>
      <x:c r="N44" s="16" t="str">
        <x:v>Mateusz Kowalski</x:v>
      </x:c>
      <x:c r="O44" s="16" t="str">
        <x:v>KB-002</x:v>
      </x:c>
      <x:c r="P44" s="16" t="str">
        <x:v>User cannot reach internal resources remotely.</x:v>
      </x:c>
      <x:c r="Q44" s="16" t="str">
        <x:v>Clear cached VPN credentials and authenticate with the new password.</x:v>
      </x:c>
      <x:c r="R44" s="22" t="n">
        <x:v>0.8</x:v>
      </x:c>
      <x:c r="S44" s="16" t="str">
        <x:v>Yes</x:v>
      </x:c>
      <x:c r="T44" s="16" t="str">
        <x:v>None</x:v>
      </x:c>
      <x:c r="U44" s="16" t="str">
        <x:v>Human-edited AI draft</x:v>
      </x:c>
      <x:c r="V44" s="16" t="str">
        <x:v>Approved</x:v>
      </x:c>
      <x:c r="W44" s="16" t="str">
        <x:v>Synthetic ticket 40; no real customer or personal data.</x:v>
      </x:c>
    </x:row>
    <x:row r="45">
      <x:c r="A45" s="16" t="str">
        <x:v>TKT-0041</x:v>
      </x:c>
      <x:c r="B45" s="16" t="str">
        <x:v>Historical: GrainTrack stock is not updating</x:v>
      </x:c>
      <x:c r="C45" s="16" t="str">
        <x:v>Business Applications</x:v>
      </x:c>
      <x:c r="D45" s="16" t="str">
        <x:v>SYS-003</x:v>
      </x:c>
      <x:c r="E45" s="16" t="str">
        <x:v>Critical</x:v>
      </x:c>
      <x:c r="F45" s="16" t="str">
        <x:v>Resolved</x:v>
      </x:c>
      <x:c r="G45" s="19" t="n">
        <x:v>45767.5</x:v>
      </x:c>
      <x:c r="H45" s="19" t="n">
        <x:v>45768.5</x:v>
      </x:c>
      <x:c r="I45" s="16" t="str">
        <x:v>EMP-098</x:v>
      </x:c>
      <x:c r="J45" s="16" t="str">
        <x:v>Mateusz Kaczmarek</x:v>
      </x:c>
      <x:c r="K45" s="16" t="str">
        <x:v>IT</x:v>
      </x:c>
      <x:c r="L45" s="16" t="str"/>
      <x:c r="M45" s="16" t="str">
        <x:v>AGT-003</x:v>
      </x:c>
      <x:c r="N45" s="16" t="str">
        <x:v>Aisha Rahman</x:v>
      </x:c>
      <x:c r="O45" s="16" t="str">
        <x:v>KB-013</x:v>
      </x:c>
      <x:c r="P45" s="16" t="str">
        <x:v>Multiple warehouse users see stale inventory.</x:v>
      </x:c>
      <x:c r="Q45" s="16" t="str">
        <x:v>Pause manual adjustments and restore the inventory integration.</x:v>
      </x:c>
      <x:c r="R45" s="22" t="n">
        <x:v>0.81</x:v>
      </x:c>
      <x:c r="S45" s="16" t="str">
        <x:v>No</x:v>
      </x:c>
      <x:c r="T45" s="16" t="str">
        <x:v>Major incident review</x:v>
      </x:c>
      <x:c r="U45" s="16" t="str">
        <x:v>Human response</x:v>
      </x:c>
      <x:c r="V45" s="16" t="str">
        <x:v>Approved</x:v>
      </x:c>
      <x:c r="W45" s="16" t="str">
        <x:v>Synthetic ticket 41; no real customer or personal data.</x:v>
      </x:c>
    </x:row>
    <x:row r="46">
      <x:c r="A46" s="16" t="str">
        <x:v>TKT-0042</x:v>
      </x:c>
      <x:c r="B46" s="16" t="str">
        <x:v>Historical: Unexpected sign-in from another country</x:v>
      </x:c>
      <x:c r="C46" s="16" t="str">
        <x:v>Security</x:v>
      </x:c>
      <x:c r="D46" s="16" t="str">
        <x:v>SYS-008</x:v>
      </x:c>
      <x:c r="E46" s="16" t="str">
        <x:v>Critical</x:v>
      </x:c>
      <x:c r="F46" s="16" t="str">
        <x:v>Resolved</x:v>
      </x:c>
      <x:c r="G46" s="19" t="n">
        <x:v>45842.5</x:v>
      </x:c>
      <x:c r="H46" s="19" t="n">
        <x:v>45843.5</x:v>
      </x:c>
      <x:c r="I46" s="16" t="str">
        <x:v>EMP-015</x:v>
      </x:c>
      <x:c r="J46" s="16" t="str">
        <x:v>Hanna Lewandowski</x:v>
      </x:c>
      <x:c r="K46" s="16" t="str">
        <x:v>Export Sales</x:v>
      </x:c>
      <x:c r="L46" s="16" t="str">
        <x:v>AST-078</x:v>
      </x:c>
      <x:c r="M46" s="16" t="str">
        <x:v>AGT-005</x:v>
      </x:c>
      <x:c r="N46" s="16" t="str">
        <x:v>Yuki Tanaka</x:v>
      </x:c>
      <x:c r="O46" s="16" t="str">
        <x:v>KB-020</x:v>
      </x:c>
      <x:c r="P46" s="16" t="str">
        <x:v>Possible account compromise.</x:v>
      </x:c>
      <x:c r="Q46" s="16" t="str">
        <x:v>Revoke sessions, reset credentials, and open a security incident.</x:v>
      </x:c>
      <x:c r="R46" s="22" t="n">
        <x:v>0.82</x:v>
      </x:c>
      <x:c r="S46" s="16" t="str">
        <x:v>No</x:v>
      </x:c>
      <x:c r="T46" s="16" t="str">
        <x:v>Mandatory security escalation</x:v>
      </x:c>
      <x:c r="U46" s="16" t="str">
        <x:v>AI draft approved</x:v>
      </x:c>
      <x:c r="V46" s="16" t="str">
        <x:v>Approved</x:v>
      </x:c>
      <x:c r="W46" s="16" t="str">
        <x:v>Synthetic ticket 42; no real customer or personal data.</x:v>
      </x:c>
    </x:row>
    <x:row r="47">
      <x:c r="A47" s="16" t="str">
        <x:v>TKT-0043</x:v>
      </x:c>
      <x:c r="B47" s="16" t="str">
        <x:v>Historical: MFA prompt never arrives</x:v>
      </x:c>
      <x:c r="C47" s="16" t="str">
        <x:v>Identity &amp; Access</x:v>
      </x:c>
      <x:c r="D47" s="16" t="str">
        <x:v>SYS-008</x:v>
      </x:c>
      <x:c r="E47" s="16" t="str">
        <x:v>High</x:v>
      </x:c>
      <x:c r="F47" s="16" t="str">
        <x:v>Resolved</x:v>
      </x:c>
      <x:c r="G47" s="19" t="n">
        <x:v>45945.5</x:v>
      </x:c>
      <x:c r="H47" s="19" t="n">
        <x:v>45946.5</x:v>
      </x:c>
      <x:c r="I47" s="16" t="str">
        <x:v>EMP-032</x:v>
      </x:c>
      <x:c r="J47" s="16" t="str">
        <x:v>Marek Zając</x:v>
      </x:c>
      <x:c r="K47" s="16" t="str">
        <x:v>Logistics</x:v>
      </x:c>
      <x:c r="L47" s="16" t="str"/>
      <x:c r="M47" s="16" t="str">
        <x:v>AGT-001</x:v>
      </x:c>
      <x:c r="N47" s="16" t="str">
        <x:v>Sofia Alvarez</x:v>
      </x:c>
      <x:c r="O47" s="16" t="str">
        <x:v>KB-003</x:v>
      </x:c>
      <x:c r="P47" s="16" t="str">
        <x:v>User is blocked from all SSO applications.</x:v>
      </x:c>
      <x:c r="Q47" s="16" t="str">
        <x:v>Verify identity and re-register the approved MFA method.</x:v>
      </x:c>
      <x:c r="R47" s="22" t="n">
        <x:v>0.83</x:v>
      </x:c>
      <x:c r="S47" s="16" t="str">
        <x:v>Yes</x:v>
      </x:c>
      <x:c r="T47" s="16" t="str">
        <x:v>None</x:v>
      </x:c>
      <x:c r="U47" s="16" t="str">
        <x:v>Human response</x:v>
      </x:c>
      <x:c r="V47" s="16" t="str">
        <x:v>Approved</x:v>
      </x:c>
      <x:c r="W47" s="16" t="str">
        <x:v>Synthetic ticket 43; no real customer or personal data.</x:v>
      </x:c>
    </x:row>
    <x:row r="48">
      <x:c r="A48" s="16" t="str">
        <x:v>TKT-0044</x:v>
      </x:c>
      <x:c r="B48" s="16" t="str">
        <x:v>Historical: ExportHub access requested for new salesperson</x:v>
      </x:c>
      <x:c r="C48" s="16" t="str">
        <x:v>Service Request</x:v>
      </x:c>
      <x:c r="D48" s="16" t="str">
        <x:v>SYS-004</x:v>
      </x:c>
      <x:c r="E48" s="16" t="str">
        <x:v>Low</x:v>
      </x:c>
      <x:c r="F48" s="16" t="str">
        <x:v>Resolved</x:v>
      </x:c>
      <x:c r="G48" s="19" t="n">
        <x:v>45683.5</x:v>
      </x:c>
      <x:c r="H48" s="19" t="n">
        <x:v>45685.5</x:v>
      </x:c>
      <x:c r="I48" s="16" t="str">
        <x:v>EMP-049</x:v>
      </x:c>
      <x:c r="J48" s="16" t="str">
        <x:v>Sara Rahman</x:v>
      </x:c>
      <x:c r="K48" s="16" t="str">
        <x:v>Warehouse</x:v>
      </x:c>
      <x:c r="L48" s="16" t="str"/>
      <x:c r="M48" s="16" t="str">
        <x:v>AGT-003</x:v>
      </x:c>
      <x:c r="N48" s="16" t="str">
        <x:v>Aisha Rahman</x:v>
      </x:c>
      <x:c r="O48" s="16" t="str">
        <x:v>KB-014</x:v>
      </x:c>
      <x:c r="P48" s="16" t="str">
        <x:v>New employee needs CRM access.</x:v>
      </x:c>
      <x:c r="Q48" s="16" t="str">
        <x:v>Obtain manager approval and assign the standard sales role.</x:v>
      </x:c>
      <x:c r="R48" s="22" t="n">
        <x:v>0.84</x:v>
      </x:c>
      <x:c r="S48" s="16" t="str">
        <x:v>Yes</x:v>
      </x:c>
      <x:c r="T48" s="16" t="str">
        <x:v>None</x:v>
      </x:c>
      <x:c r="U48" s="16" t="str">
        <x:v>Human-edited AI draft</x:v>
      </x:c>
      <x:c r="V48" s="16" t="str">
        <x:v>Approved</x:v>
      </x:c>
      <x:c r="W48" s="16" t="str">
        <x:v>Synthetic ticket 44; no real customer or personal data.</x:v>
      </x:c>
    </x:row>
    <x:row r="49">
      <x:c r="A49" s="16" t="str">
        <x:v>TKT-0045</x:v>
      </x:c>
      <x:c r="B49" s="16" t="str">
        <x:v>Historical: Company laptop lost during travel</x:v>
      </x:c>
      <x:c r="C49" s="16" t="str">
        <x:v>Security</x:v>
      </x:c>
      <x:c r="D49" s="16" t="str">
        <x:v>SYS-015</x:v>
      </x:c>
      <x:c r="E49" s="16" t="str">
        <x:v>Critical</x:v>
      </x:c>
      <x:c r="F49" s="16" t="str">
        <x:v>Closed</x:v>
      </x:c>
      <x:c r="G49" s="19" t="n">
        <x:v>45757.5</x:v>
      </x:c>
      <x:c r="H49" s="19" t="n">
        <x:v>45759.5</x:v>
      </x:c>
      <x:c r="I49" s="16" t="str">
        <x:v>EMP-066</x:v>
      </x:c>
      <x:c r="J49" s="16" t="str">
        <x:v>Mateusz Kaczmarek</x:v>
      </x:c>
      <x:c r="K49" s="16" t="str">
        <x:v>Finance</x:v>
      </x:c>
      <x:c r="L49" s="16" t="str"/>
      <x:c r="M49" s="16" t="str">
        <x:v>AGT-005</x:v>
      </x:c>
      <x:c r="N49" s="16" t="str">
        <x:v>Yuki Tanaka</x:v>
      </x:c>
      <x:c r="O49" s="16" t="str">
        <x:v>KB-021</x:v>
      </x:c>
      <x:c r="P49" s="16" t="str">
        <x:v>Managed device may be exposed.</x:v>
      </x:c>
      <x:c r="Q49" s="16" t="str">
        <x:v>Remote lock the device and initiate the security response procedure.</x:v>
      </x:c>
      <x:c r="R49" s="22" t="n">
        <x:v>0.85</x:v>
      </x:c>
      <x:c r="S49" s="16" t="str">
        <x:v>No</x:v>
      </x:c>
      <x:c r="T49" s="16" t="str">
        <x:v>Mandatory security escalation</x:v>
      </x:c>
      <x:c r="U49" s="16" t="str">
        <x:v>AI draft approved</x:v>
      </x:c>
      <x:c r="V49" s="16" t="str">
        <x:v>Corrected</x:v>
      </x:c>
      <x:c r="W49" s="16" t="str">
        <x:v>Synthetic ticket 45; no real customer or personal data.</x:v>
      </x:c>
    </x:row>
    <x:row r="50">
      <x:c r="A50" s="16" t="str">
        <x:v>TKT-0046</x:v>
      </x:c>
      <x:c r="B50" s="16" t="str">
        <x:v>Historical: Account locked after repeated sign-in</x:v>
      </x:c>
      <x:c r="C50" s="16" t="str">
        <x:v>Identity &amp; Access</x:v>
      </x:c>
      <x:c r="D50" s="16" t="str">
        <x:v>SYS-008</x:v>
      </x:c>
      <x:c r="E50" s="16" t="str">
        <x:v>Medium</x:v>
      </x:c>
      <x:c r="F50" s="16" t="str">
        <x:v>Closed</x:v>
      </x:c>
      <x:c r="G50" s="19" t="n">
        <x:v>45859.5</x:v>
      </x:c>
      <x:c r="H50" s="19" t="n">
        <x:v>45861.5</x:v>
      </x:c>
      <x:c r="I50" s="16" t="str">
        <x:v>EMP-083</x:v>
      </x:c>
      <x:c r="J50" s="16" t="str">
        <x:v>Sara Szymański</x:v>
      </x:c>
      <x:c r="K50" s="16" t="str">
        <x:v>Operations</x:v>
      </x:c>
      <x:c r="L50" s="16" t="str"/>
      <x:c r="M50" s="16" t="str">
        <x:v>AGT-001</x:v>
      </x:c>
      <x:c r="N50" s="16" t="str">
        <x:v>Sofia Alvarez</x:v>
      </x:c>
      <x:c r="O50" s="16" t="str">
        <x:v>KB-004</x:v>
      </x:c>
      <x:c r="P50" s="16" t="str">
        <x:v>User cannot sign in to company systems.</x:v>
      </x:c>
      <x:c r="Q50" s="16" t="str">
        <x:v>Identify lockout source, verify identity, and unlock the account.</x:v>
      </x:c>
      <x:c r="R50" s="22" t="n">
        <x:v>0.86</x:v>
      </x:c>
      <x:c r="S50" s="16" t="str">
        <x:v>Yes</x:v>
      </x:c>
      <x:c r="T50" s="16" t="str">
        <x:v>None</x:v>
      </x:c>
      <x:c r="U50" s="16" t="str">
        <x:v>Human response</x:v>
      </x:c>
      <x:c r="V50" s="16" t="str">
        <x:v>Approved</x:v>
      </x:c>
      <x:c r="W50" s="16" t="str">
        <x:v>Synthetic ticket 46; no real customer or personal data.</x:v>
      </x:c>
    </x:row>
    <x:row r="51">
      <x:c r="A51" s="16" t="str">
        <x:v>TKT-0047</x:v>
      </x:c>
      <x:c r="B51" s="16" t="str">
        <x:v>Historical: CertiRice rejects quality certificate</x:v>
      </x:c>
      <x:c r="C51" s="16" t="str">
        <x:v>Business Applications</x:v>
      </x:c>
      <x:c r="D51" s="16" t="str">
        <x:v>SYS-005</x:v>
      </x:c>
      <x:c r="E51" s="16" t="str">
        <x:v>Medium</x:v>
      </x:c>
      <x:c r="F51" s="16" t="str">
        <x:v>Waiting for customer</x:v>
      </x:c>
      <x:c r="G51" s="19" t="n">
        <x:v>45935.5</x:v>
      </x:c>
      <x:c r="H51" s="19" t="str"/>
      <x:c r="I51" s="16" t="str">
        <x:v>EMP-100</x:v>
      </x:c>
      <x:c r="J51" s="16" t="str">
        <x:v>Daniel Nowak</x:v>
      </x:c>
      <x:c r="K51" s="16" t="str">
        <x:v>IT</x:v>
      </x:c>
      <x:c r="L51" s="16" t="str"/>
      <x:c r="M51" s="16" t="str">
        <x:v>AGT-003</x:v>
      </x:c>
      <x:c r="N51" s="16" t="str">
        <x:v>Aisha Rahman</x:v>
      </x:c>
      <x:c r="O51" s="16" t="str">
        <x:v>KB-015</x:v>
      </x:c>
      <x:c r="P51" s="16" t="str">
        <x:v>Certificate cannot be attached to a shipment.</x:v>
      </x:c>
      <x:c r="Q51" s="16" t="str"/>
      <x:c r="R51" s="22" t="n">
        <x:v>0.87</x:v>
      </x:c>
      <x:c r="S51" s="16" t="str">
        <x:v>Yes</x:v>
      </x:c>
      <x:c r="T51" s="16" t="str">
        <x:v>None</x:v>
      </x:c>
      <x:c r="U51" s="16" t="str"/>
      <x:c r="V51" s="16" t="str">
        <x:v>Pending</x:v>
      </x:c>
      <x:c r="W51" s="16" t="str">
        <x:v>Synthetic ticket 47; no real customer or personal data.</x:v>
      </x:c>
    </x:row>
    <x:row r="52">
      <x:c r="A52" s="16" t="str">
        <x:v>TKT-0048</x:v>
      </x:c>
      <x:c r="B52" s="16" t="str">
        <x:v>Historical: Approved software installation request</x:v>
      </x:c>
      <x:c r="C52" s="16" t="str">
        <x:v>Service Request</x:v>
      </x:c>
      <x:c r="D52" s="16" t="str">
        <x:v>SYS-015</x:v>
      </x:c>
      <x:c r="E52" s="16" t="str">
        <x:v>Low</x:v>
      </x:c>
      <x:c r="F52" s="16" t="str">
        <x:v>In progress</x:v>
      </x:c>
      <x:c r="G52" s="19" t="n">
        <x:v>45673.5</x:v>
      </x:c>
      <x:c r="H52" s="19" t="str"/>
      <x:c r="I52" s="16" t="str">
        <x:v>EMP-017</x:v>
      </x:c>
      <x:c r="J52" s="16" t="str">
        <x:v>Sara Rahman</x:v>
      </x:c>
      <x:c r="K52" s="16" t="str">
        <x:v>Export Sales</x:v>
      </x:c>
      <x:c r="L52" s="16" t="str"/>
      <x:c r="M52" s="16" t="str">
        <x:v>AGT-002</x:v>
      </x:c>
      <x:c r="N52" s="16" t="str">
        <x:v>Liam O'Connor</x:v>
      </x:c>
      <x:c r="O52" s="16" t="str">
        <x:v>KB-022</x:v>
      </x:c>
      <x:c r="P52" s="16" t="str">
        <x:v>Employee requires an approved productivity tool.</x:v>
      </x:c>
      <x:c r="Q52" s="16" t="str"/>
      <x:c r="R52" s="22" t="n">
        <x:v>0.88</x:v>
      </x:c>
      <x:c r="S52" s="16" t="str">
        <x:v>Yes</x:v>
      </x:c>
      <x:c r="T52" s="16" t="str">
        <x:v>None</x:v>
      </x:c>
      <x:c r="U52" s="16" t="str"/>
      <x:c r="V52" s="16" t="str">
        <x:v>Pending</x:v>
      </x:c>
      <x:c r="W52" s="16" t="str">
        <x:v>Synthetic ticket 48; no real customer or personal data.</x:v>
      </x:c>
    </x:row>
    <x:row r="53">
      <x:c r="A53" s="16" t="str">
        <x:v>TKT-0049</x:v>
      </x:c>
      <x:c r="B53" s="16" t="str">
        <x:v>Historical: Warehouse scanner will not sync</x:v>
      </x:c>
      <x:c r="C53" s="16" t="str">
        <x:v>Hardware</x:v>
      </x:c>
      <x:c r="D53" s="16" t="str">
        <x:v>SYS-003</x:v>
      </x:c>
      <x:c r="E53" s="16" t="str">
        <x:v>High</x:v>
      </x:c>
      <x:c r="F53" s="16" t="str">
        <x:v>Open</x:v>
      </x:c>
      <x:c r="G53" s="19" t="n">
        <x:v>45774.5</x:v>
      </x:c>
      <x:c r="H53" s="19" t="str"/>
      <x:c r="I53" s="16" t="str">
        <x:v>EMP-034</x:v>
      </x:c>
      <x:c r="J53" s="16" t="str">
        <x:v>Marta Dąbrowski</x:v>
      </x:c>
      <x:c r="K53" s="16" t="str">
        <x:v>Warehouse</x:v>
      </x:c>
      <x:c r="L53" s="16" t="str">
        <x:v>AST-047</x:v>
      </x:c>
      <x:c r="M53" s="16" t="str">
        <x:v>AGT-002</x:v>
      </x:c>
      <x:c r="N53" s="16" t="str">
        <x:v>Liam O'Connor</x:v>
      </x:c>
      <x:c r="O53" s="16" t="str">
        <x:v>KB-010</x:v>
      </x:c>
      <x:c r="P53" s="16" t="str">
        <x:v>Picking activity is delayed for one operator.</x:v>
      </x:c>
      <x:c r="Q53" s="16" t="str"/>
      <x:c r="R53" s="22" t="n">
        <x:v>0.89</x:v>
      </x:c>
      <x:c r="S53" s="16" t="str">
        <x:v>Yes</x:v>
      </x:c>
      <x:c r="T53" s="16" t="str">
        <x:v>None</x:v>
      </x:c>
      <x:c r="U53" s="16" t="str"/>
      <x:c r="V53" s="16" t="str">
        <x:v>Pending</x:v>
      </x:c>
      <x:c r="W53" s="16" t="str">
        <x:v>Synthetic ticket 49; no real customer or personal data.</x:v>
      </x:c>
    </x:row>
    <x:row r="54">
      <x:c r="A54" s="16" t="str">
        <x:v>TKT-0050</x:v>
      </x:c>
      <x:c r="B54" s="16" t="str">
        <x:v>Historical: ShipLink cannot find container</x:v>
      </x:c>
      <x:c r="C54" s="16" t="str">
        <x:v>Business Applications</x:v>
      </x:c>
      <x:c r="D54" s="16" t="str">
        <x:v>SYS-006</x:v>
      </x:c>
      <x:c r="E54" s="16" t="str">
        <x:v>Medium</x:v>
      </x:c>
      <x:c r="F54" s="16" t="str">
        <x:v>Resolved</x:v>
      </x:c>
      <x:c r="G54" s="19" t="n">
        <x:v>45849.5</x:v>
      </x:c>
      <x:c r="H54" s="19" t="n">
        <x:v>45851.5</x:v>
      </x:c>
      <x:c r="I54" s="16" t="str">
        <x:v>EMP-051</x:v>
      </x:c>
      <x:c r="J54" s="16" t="str">
        <x:v>Katarzyna Zieliński</x:v>
      </x:c>
      <x:c r="K54" s="16" t="str">
        <x:v>Warehouse</x:v>
      </x:c>
      <x:c r="L54" s="16" t="str"/>
      <x:c r="M54" s="16" t="str">
        <x:v>AGT-003</x:v>
      </x:c>
      <x:c r="N54" s="16" t="str">
        <x:v>Aisha Rahman</x:v>
      </x:c>
      <x:c r="O54" s="16" t="str">
        <x:v>KB-016</x:v>
      </x:c>
      <x:c r="P54" s="16" t="str">
        <x:v>Logistics cannot view carrier tracking.</x:v>
      </x:c>
      <x:c r="Q54" s="16" t="str">
        <x:v>Validate the container reference and refresh the carrier integration.</x:v>
      </x:c>
      <x:c r="R54" s="22" t="n">
        <x:v>0.9</x:v>
      </x:c>
      <x:c r="S54" s="16" t="str">
        <x:v>Yes</x:v>
      </x:c>
      <x:c r="T54" s="16" t="str">
        <x:v>None</x:v>
      </x:c>
      <x:c r="U54" s="16" t="str">
        <x:v>Human response</x:v>
      </x:c>
      <x:c r="V54" s="16" t="str">
        <x:v>Approved</x:v>
      </x:c>
      <x:c r="W54" s="16" t="str">
        <x:v>Synthetic ticket 50; no real customer or personal data.</x:v>
      </x:c>
    </x:row>
    <x:row r="55">
      <x:c r="A55" s="16" t="str">
        <x:v>TKT-0051</x:v>
      </x:c>
      <x:c r="B55" s="16" t="str">
        <x:v>Historical: New employee IT onboarding</x:v>
      </x:c>
      <x:c r="C55" s="16" t="str">
        <x:v>Service Request</x:v>
      </x:c>
      <x:c r="D55" s="16" t="str">
        <x:v>SYS-008</x:v>
      </x:c>
      <x:c r="E55" s="16" t="str">
        <x:v>Medium</x:v>
      </x:c>
      <x:c r="F55" s="16" t="str">
        <x:v>Resolved</x:v>
      </x:c>
      <x:c r="G55" s="19" t="n">
        <x:v>45952.5</x:v>
      </x:c>
      <x:c r="H55" s="19" t="n">
        <x:v>45954.5</x:v>
      </x:c>
      <x:c r="I55" s="16" t="str">
        <x:v>EMP-068</x:v>
      </x:c>
      <x:c r="J55" s="16" t="str">
        <x:v>Daniel Nowak</x:v>
      </x:c>
      <x:c r="K55" s="16" t="str">
        <x:v>Finance</x:v>
      </x:c>
      <x:c r="L55" s="16" t="str"/>
      <x:c r="M55" s="16" t="str">
        <x:v>AGT-001</x:v>
      </x:c>
      <x:c r="N55" s="16" t="str">
        <x:v>Sofia Alvarez</x:v>
      </x:c>
      <x:c r="O55" s="16" t="str">
        <x:v>KB-023</x:v>
      </x:c>
      <x:c r="P55" s="16" t="str">
        <x:v>New starter requires baseline equipment and access.</x:v>
      </x:c>
      <x:c r="Q55" s="16" t="str">
        <x:v>Provision baseline account, MFA, groups, and assigned device.</x:v>
      </x:c>
      <x:c r="R55" s="22" t="n">
        <x:v>0.91</x:v>
      </x:c>
      <x:c r="S55" s="16" t="str">
        <x:v>Yes</x:v>
      </x:c>
      <x:c r="T55" s="16" t="str">
        <x:v>None</x:v>
      </x:c>
      <x:c r="U55" s="16" t="str">
        <x:v>AI draft approved</x:v>
      </x:c>
      <x:c r="V55" s="16" t="str">
        <x:v>Approved</x:v>
      </x:c>
      <x:c r="W55" s="16" t="str">
        <x:v>Synthetic ticket 51; no real customer or personal data.</x:v>
      </x:c>
    </x:row>
    <x:row r="56">
      <x:c r="A56" s="16" t="str">
        <x:v>TKT-0052</x:v>
      </x:c>
      <x:c r="B56" s="16" t="str">
        <x:v>Historical: Label printer produces blank labels</x:v>
      </x:c>
      <x:c r="C56" s="16" t="str">
        <x:v>Hardware</x:v>
      </x:c>
      <x:c r="D56" s="16" t="str">
        <x:v>SYS-013</x:v>
      </x:c>
      <x:c r="E56" s="16" t="str">
        <x:v>High</x:v>
      </x:c>
      <x:c r="F56" s="16" t="str">
        <x:v>Resolved</x:v>
      </x:c>
      <x:c r="G56" s="19" t="n">
        <x:v>45663.5</x:v>
      </x:c>
      <x:c r="H56" s="19" t="n">
        <x:v>45665.5</x:v>
      </x:c>
      <x:c r="I56" s="16" t="str">
        <x:v>EMP-085</x:v>
      </x:c>
      <x:c r="J56" s="16" t="str">
        <x:v>Katarzyna Bąk</x:v>
      </x:c>
      <x:c r="K56" s="16" t="str">
        <x:v>Operations</x:v>
      </x:c>
      <x:c r="L56" s="16" t="str"/>
      <x:c r="M56" s="16" t="str">
        <x:v>AGT-002</x:v>
      </x:c>
      <x:c r="N56" s="16" t="str">
        <x:v>Liam O'Connor</x:v>
      </x:c>
      <x:c r="O56" s="16" t="str">
        <x:v>KB-009</x:v>
      </x:c>
      <x:c r="P56" s="16" t="str">
        <x:v>Outbound pallet labeling is delayed.</x:v>
      </x:c>
      <x:c r="Q56" s="16" t="str">
        <x:v>Reload media, calibrate printer, and restart the managed print queue.</x:v>
      </x:c>
      <x:c r="R56" s="22" t="n">
        <x:v>0.92</x:v>
      </x:c>
      <x:c r="S56" s="16" t="str">
        <x:v>Yes</x:v>
      </x:c>
      <x:c r="T56" s="16" t="str">
        <x:v>None</x:v>
      </x:c>
      <x:c r="U56" s="16" t="str">
        <x:v>Human-edited AI draft</x:v>
      </x:c>
      <x:c r="V56" s="16" t="str">
        <x:v>Approved</x:v>
      </x:c>
      <x:c r="W56" s="16" t="str">
        <x:v>Synthetic ticket 52; no real customer or personal data.</x:v>
      </x:c>
    </x:row>
    <x:row r="57">
      <x:c r="A57" s="16" t="str">
        <x:v>TKT-0053</x:v>
      </x:c>
      <x:c r="B57" s="16" t="str">
        <x:v>Historical: Deleted pricing workbook in SharePoint</x:v>
      </x:c>
      <x:c r="C57" s="16" t="str">
        <x:v>Collaboration</x:v>
      </x:c>
      <x:c r="D57" s="16" t="str">
        <x:v>SYS-010</x:v>
      </x:c>
      <x:c r="E57" s="16" t="str">
        <x:v>High</x:v>
      </x:c>
      <x:c r="F57" s="16" t="str">
        <x:v>Resolved</x:v>
      </x:c>
      <x:c r="G57" s="19" t="n">
        <x:v>45764.5</x:v>
      </x:c>
      <x:c r="H57" s="19" t="n">
        <x:v>45766.5</x:v>
      </x:c>
      <x:c r="I57" s="16" t="str">
        <x:v>EMP-002</x:v>
      </x:c>
      <x:c r="J57" s="16" t="str">
        <x:v>Marta Dąbrowski</x:v>
      </x:c>
      <x:c r="K57" s="16" t="str">
        <x:v>Export Sales</x:v>
      </x:c>
      <x:c r="L57" s="16" t="str"/>
      <x:c r="M57" s="16" t="str">
        <x:v>AGT-003</x:v>
      </x:c>
      <x:c r="N57" s="16" t="str">
        <x:v>Aisha Rahman</x:v>
      </x:c>
      <x:c r="O57" s="16" t="str">
        <x:v>KB-017</x:v>
      </x:c>
      <x:c r="P57" s="16" t="str">
        <x:v>Sales team needs a recently deleted file.</x:v>
      </x:c>
      <x:c r="Q57" s="16" t="str">
        <x:v>Restore the correct retained version from the SharePoint recycle bin.</x:v>
      </x:c>
      <x:c r="R57" s="22" t="n">
        <x:v>0.93</x:v>
      </x:c>
      <x:c r="S57" s="16" t="str">
        <x:v>Yes</x:v>
      </x:c>
      <x:c r="T57" s="16" t="str">
        <x:v>None</x:v>
      </x:c>
      <x:c r="U57" s="16" t="str">
        <x:v>Human response</x:v>
      </x:c>
      <x:c r="V57" s="16" t="str">
        <x:v>Approved</x:v>
      </x:c>
      <x:c r="W57" s="16" t="str">
        <x:v>Synthetic ticket 53; no real customer or personal data.</x:v>
      </x:c>
    </x:row>
    <x:row r="58">
      <x:c r="A58" s="16" t="str">
        <x:v>TKT-0054</x:v>
      </x:c>
      <x:c r="B58" s="16" t="str">
        <x:v>Historical: Employee offboarding request</x:v>
      </x:c>
      <x:c r="C58" s="16" t="str">
        <x:v>Security</x:v>
      </x:c>
      <x:c r="D58" s="16" t="str">
        <x:v>SYS-008</x:v>
      </x:c>
      <x:c r="E58" s="16" t="str">
        <x:v>High</x:v>
      </x:c>
      <x:c r="F58" s="16" t="str">
        <x:v>Resolved</x:v>
      </x:c>
      <x:c r="G58" s="19" t="n">
        <x:v>45839.5</x:v>
      </x:c>
      <x:c r="H58" s="19" t="n">
        <x:v>45841.5</x:v>
      </x:c>
      <x:c r="I58" s="16" t="str">
        <x:v>EMP-019</x:v>
      </x:c>
      <x:c r="J58" s="16" t="str">
        <x:v>Piotr Pawlak</x:v>
      </x:c>
      <x:c r="K58" s="16" t="str">
        <x:v>Logistics</x:v>
      </x:c>
      <x:c r="L58" s="16" t="str"/>
      <x:c r="M58" s="16" t="str">
        <x:v>AGT-005</x:v>
      </x:c>
      <x:c r="N58" s="16" t="str">
        <x:v>Yuki Tanaka</x:v>
      </x:c>
      <x:c r="O58" s="16" t="str">
        <x:v>KB-024</x:v>
      </x:c>
      <x:c r="P58" s="16" t="str">
        <x:v>Departing employee access must end on schedule.</x:v>
      </x:c>
      <x:c r="Q58" s="16" t="str">
        <x:v>Disable access, revoke sessions, preserve data, and recover assets.</x:v>
      </x:c>
      <x:c r="R58" s="22" t="n">
        <x:v>0.94</x:v>
      </x:c>
      <x:c r="S58" s="16" t="str">
        <x:v>No</x:v>
      </x:c>
      <x:c r="T58" s="16" t="str">
        <x:v>Mandatory security escalation</x:v>
      </x:c>
      <x:c r="U58" s="16" t="str">
        <x:v>AI draft approved</x:v>
      </x:c>
      <x:c r="V58" s="16" t="str">
        <x:v>Corrected</x:v>
      </x:c>
      <x:c r="W58" s="16" t="str">
        <x:v>Synthetic ticket 54; no real customer or personal data.</x:v>
      </x:c>
    </x:row>
    <x:row r="59">
      <x:c r="A59" s="16" t="str">
        <x:v>TKT-0055</x:v>
      </x:c>
      <x:c r="B59" s="16" t="str">
        <x:v>Historical: Laptop screen flickers through dock</x:v>
      </x:c>
      <x:c r="C59" s="16" t="str">
        <x:v>Hardware</x:v>
      </x:c>
      <x:c r="D59" s="16" t="str">
        <x:v>SYS-015</x:v>
      </x:c>
      <x:c r="E59" s="16" t="str">
        <x:v>Low</x:v>
      </x:c>
      <x:c r="F59" s="16" t="str">
        <x:v>Closed</x:v>
      </x:c>
      <x:c r="G59" s="19" t="n">
        <x:v>45942.5</x:v>
      </x:c>
      <x:c r="H59" s="19" t="n">
        <x:v>45944.5</x:v>
      </x:c>
      <x:c r="I59" s="16" t="str">
        <x:v>EMP-036</x:v>
      </x:c>
      <x:c r="J59" s="16" t="str">
        <x:v>Carlos Lewandowski</x:v>
      </x:c>
      <x:c r="K59" s="16" t="str">
        <x:v>Warehouse</x:v>
      </x:c>
      <x:c r="L59" s="16" t="str">
        <x:v>AST-026</x:v>
      </x:c>
      <x:c r="M59" s="16" t="str">
        <x:v>AGT-002</x:v>
      </x:c>
      <x:c r="N59" s="16" t="str">
        <x:v>Liam O'Connor</x:v>
      </x:c>
      <x:c r="O59" s="16" t="str">
        <x:v>KB-008</x:v>
      </x:c>
      <x:c r="P59" s="16" t="str">
        <x:v>Employee can work using the laptop display.</x:v>
      </x:c>
      <x:c r="Q59" s="16" t="str">
        <x:v>Update dock firmware and replace the display cable.</x:v>
      </x:c>
      <x:c r="R59" s="22" t="n">
        <x:v>0.95</x:v>
      </x:c>
      <x:c r="S59" s="16" t="str">
        <x:v>Yes</x:v>
      </x:c>
      <x:c r="T59" s="16" t="str">
        <x:v>None</x:v>
      </x:c>
      <x:c r="U59" s="16" t="str">
        <x:v>Human response</x:v>
      </x:c>
      <x:c r="V59" s="16" t="str">
        <x:v>Approved</x:v>
      </x:c>
      <x:c r="W59" s="16" t="str">
        <x:v>Synthetic ticket 55; no real customer or personal data.</x:v>
      </x:c>
    </x:row>
    <x:row r="60">
      <x:c r="A60" s="16" t="str">
        <x:v>TKT-0056</x:v>
      </x:c>
      <x:c r="B60" s="16" t="str">
        <x:v>Historical: Teams microphone not detected</x:v>
      </x:c>
      <x:c r="C60" s="16" t="str">
        <x:v>Collaboration</x:v>
      </x:c>
      <x:c r="D60" s="16" t="str">
        <x:v>SYS-011</x:v>
      </x:c>
      <x:c r="E60" s="16" t="str">
        <x:v>Low</x:v>
      </x:c>
      <x:c r="F60" s="16" t="str">
        <x:v>Closed</x:v>
      </x:c>
      <x:c r="G60" s="19" t="n">
        <x:v>45680.5</x:v>
      </x:c>
      <x:c r="H60" s="19" t="n">
        <x:v>45682.5</x:v>
      </x:c>
      <x:c r="I60" s="16" t="str">
        <x:v>EMP-053</x:v>
      </x:c>
      <x:c r="J60" s="16" t="str">
        <x:v>Zofia Jankowski</x:v>
      </x:c>
      <x:c r="K60" s="16" t="str">
        <x:v>Warehouse</x:v>
      </x:c>
      <x:c r="L60" s="16" t="str"/>
      <x:c r="M60" s="16" t="str">
        <x:v>AGT-002</x:v>
      </x:c>
      <x:c r="N60" s="16" t="str">
        <x:v>Liam O'Connor</x:v>
      </x:c>
      <x:c r="O60" s="16" t="str">
        <x:v>KB-018</x:v>
      </x:c>
      <x:c r="P60" s="16" t="str">
        <x:v>User cannot speak during calls.</x:v>
      </x:c>
      <x:c r="Q60" s="16" t="str">
        <x:v>Select the correct device and restore OS microphone permission.</x:v>
      </x:c>
      <x:c r="R60" s="22" t="n">
        <x:v>0.96</x:v>
      </x:c>
      <x:c r="S60" s="16" t="str">
        <x:v>Yes</x:v>
      </x:c>
      <x:c r="T60" s="16" t="str">
        <x:v>None</x:v>
      </x:c>
      <x:c r="U60" s="16" t="str">
        <x:v>Human-edited AI draft</x:v>
      </x:c>
      <x:c r="V60" s="16" t="str">
        <x:v>Approved</x:v>
      </x:c>
      <x:c r="W60" s="16" t="str">
        <x:v>Synthetic ticket 56; no real customer or personal data.</x:v>
      </x:c>
    </x:row>
    <x:row r="61">
      <x:c r="A61" s="16" t="str">
        <x:v>TKT-0057</x:v>
      </x:c>
      <x:c r="B61" s="16" t="str">
        <x:v>Historical: Warehouse Wi-Fi unavailable</x:v>
      </x:c>
      <x:c r="C61" s="16" t="str">
        <x:v>Network &amp; VPN</x:v>
      </x:c>
      <x:c r="D61" s="16" t="str">
        <x:v>SYS-014</x:v>
      </x:c>
      <x:c r="E61" s="16" t="str">
        <x:v>Critical</x:v>
      </x:c>
      <x:c r="F61" s="16" t="str">
        <x:v>Waiting for customer</x:v>
      </x:c>
      <x:c r="G61" s="19" t="n">
        <x:v>45754.5</x:v>
      </x:c>
      <x:c r="H61" s="19" t="str"/>
      <x:c r="I61" s="16" t="str">
        <x:v>EMP-070</x:v>
      </x:c>
      <x:c r="J61" s="16" t="str">
        <x:v>Noah Tanaka</x:v>
      </x:c>
      <x:c r="K61" s="16" t="str">
        <x:v>Finance</x:v>
      </x:c>
      <x:c r="L61" s="16" t="str"/>
      <x:c r="M61" s="16" t="str">
        <x:v>AGT-004</x:v>
      </x:c>
      <x:c r="N61" s="16" t="str">
        <x:v>Mateusz Kowalski</x:v>
      </x:c>
      <x:c r="O61" s="16" t="str">
        <x:v>KB-025</x:v>
      </x:c>
      <x:c r="P61" s="16" t="str">
        <x:v>Multiple warehouse devices are offline.</x:v>
      </x:c>
      <x:c r="Q61" s="16" t="str"/>
      <x:c r="R61" s="22" t="n">
        <x:v>0.97</x:v>
      </x:c>
      <x:c r="S61" s="16" t="str">
        <x:v>No</x:v>
      </x:c>
      <x:c r="T61" s="16" t="str">
        <x:v>Major incident review</x:v>
      </x:c>
      <x:c r="U61" s="16" t="str"/>
      <x:c r="V61" s="16" t="str">
        <x:v>Pending</x:v>
      </x:c>
      <x:c r="W61" s="16" t="str">
        <x:v>Synthetic ticket 57; no real customer or personal data.</x:v>
      </x:c>
    </x:row>
    <x:row r="62">
      <x:c r="A62" s="16" t="str">
        <x:v>TKT-0058</x:v>
      </x:c>
      <x:c r="B62" s="16" t="str">
        <x:v>Historical: RiceFlow invoice export fails</x:v>
      </x:c>
      <x:c r="C62" s="16" t="str">
        <x:v>Business Applications</x:v>
      </x:c>
      <x:c r="D62" s="16" t="str">
        <x:v>SYS-002</x:v>
      </x:c>
      <x:c r="E62" s="16" t="str">
        <x:v>High</x:v>
      </x:c>
      <x:c r="F62" s="16" t="str">
        <x:v>In progress</x:v>
      </x:c>
      <x:c r="G62" s="19" t="n">
        <x:v>45856.5</x:v>
      </x:c>
      <x:c r="H62" s="19" t="str"/>
      <x:c r="I62" s="16" t="str">
        <x:v>EMP-087</x:v>
      </x:c>
      <x:c r="J62" s="16" t="str">
        <x:v>Zofia Kowalski</x:v>
      </x:c>
      <x:c r="K62" s="16" t="str">
        <x:v>Operations</x:v>
      </x:c>
      <x:c r="L62" s="16" t="str"/>
      <x:c r="M62" s="16" t="str">
        <x:v>AGT-003</x:v>
      </x:c>
      <x:c r="N62" s="16" t="str">
        <x:v>Aisha Rahman</x:v>
      </x:c>
      <x:c r="O62" s="16" t="str">
        <x:v>KB-012</x:v>
      </x:c>
      <x:c r="P62" s="16" t="str">
        <x:v>Finance cannot complete the daily invoice batch.</x:v>
      </x:c>
      <x:c r="Q62" s="16" t="str"/>
      <x:c r="R62" s="22" t="n">
        <x:v>0.69</x:v>
      </x:c>
      <x:c r="S62" s="16" t="str">
        <x:v>No</x:v>
      </x:c>
      <x:c r="T62" s="16" t="str">
        <x:v>Low confidence</x:v>
      </x:c>
      <x:c r="U62" s="16" t="str"/>
      <x:c r="V62" s="16" t="str">
        <x:v>Pending</x:v>
      </x:c>
      <x:c r="W62" s="16" t="str">
        <x:v>Synthetic ticket 58; no real customer or personal data.</x:v>
      </x:c>
    </x:row>
    <x:row r="63">
      <x:c r="A63" s="16" t="str">
        <x:v>TKT-0059</x:v>
      </x:c>
      <x:c r="B63" s="16" t="str">
        <x:v>Historical: Suspicious invoice email received</x:v>
      </x:c>
      <x:c r="C63" s="16" t="str">
        <x:v>Security</x:v>
      </x:c>
      <x:c r="D63" s="16" t="str">
        <x:v>SYS-016</x:v>
      </x:c>
      <x:c r="E63" s="16" t="str">
        <x:v>Critical</x:v>
      </x:c>
      <x:c r="F63" s="16" t="str">
        <x:v>Open</x:v>
      </x:c>
      <x:c r="G63" s="19" t="n">
        <x:v>45932.5</x:v>
      </x:c>
      <x:c r="H63" s="19" t="str"/>
      <x:c r="I63" s="16" t="str">
        <x:v>EMP-004</x:v>
      </x:c>
      <x:c r="J63" s="16" t="str">
        <x:v>Carlos Lewandowski</x:v>
      </x:c>
      <x:c r="K63" s="16" t="str">
        <x:v>Export Sales</x:v>
      </x:c>
      <x:c r="L63" s="16" t="str">
        <x:v>AST-031</x:v>
      </x:c>
      <x:c r="M63" s="16" t="str">
        <x:v>AGT-005</x:v>
      </x:c>
      <x:c r="N63" s="16" t="str">
        <x:v>Yuki Tanaka</x:v>
      </x:c>
      <x:c r="O63" s="16" t="str">
        <x:v>KB-019</x:v>
      </x:c>
      <x:c r="P63" s="16" t="str">
        <x:v>Potential phishing attempt targeting Finance.</x:v>
      </x:c>
      <x:c r="Q63" s="16" t="str"/>
      <x:c r="R63" s="22" t="n">
        <x:v>0.7</x:v>
      </x:c>
      <x:c r="S63" s="16" t="str">
        <x:v>No</x:v>
      </x:c>
      <x:c r="T63" s="16" t="str">
        <x:v>Mandatory security escalation</x:v>
      </x:c>
      <x:c r="U63" s="16" t="str"/>
      <x:c r="V63" s="16" t="str">
        <x:v>Pending</x:v>
      </x:c>
      <x:c r="W63" s="16" t="str">
        <x:v>Synthetic ticket 59; no real customer or personal data.</x:v>
      </x:c>
    </x:row>
    <x:row r="64">
      <x:c r="A64" s="16" t="str">
        <x:v>TKT-0060</x:v>
      </x:c>
      <x:c r="B64" s="16" t="str">
        <x:v>Historical: VPN authentication fails after password change</x:v>
      </x:c>
      <x:c r="C64" s="16" t="str">
        <x:v>Network &amp; VPN</x:v>
      </x:c>
      <x:c r="D64" s="16" t="str">
        <x:v>SYS-007</x:v>
      </x:c>
      <x:c r="E64" s="16" t="str">
        <x:v>Medium</x:v>
      </x:c>
      <x:c r="F64" s="16" t="str">
        <x:v>Resolved</x:v>
      </x:c>
      <x:c r="G64" s="19" t="n">
        <x:v>45670.5</x:v>
      </x:c>
      <x:c r="H64" s="19" t="n">
        <x:v>45672.5</x:v>
      </x:c>
      <x:c r="I64" s="16" t="str">
        <x:v>EMP-021</x:v>
      </x:c>
      <x:c r="J64" s="16" t="str">
        <x:v>Karolina Zając</x:v>
      </x:c>
      <x:c r="K64" s="16" t="str">
        <x:v>Logistics</x:v>
      </x:c>
      <x:c r="L64" s="16" t="str"/>
      <x:c r="M64" s="16" t="str">
        <x:v>AGT-004</x:v>
      </x:c>
      <x:c r="N64" s="16" t="str">
        <x:v>Mateusz Kowalski</x:v>
      </x:c>
      <x:c r="O64" s="16" t="str">
        <x:v>KB-002</x:v>
      </x:c>
      <x:c r="P64" s="16" t="str">
        <x:v>User cannot reach internal resources remotely.</x:v>
      </x:c>
      <x:c r="Q64" s="16" t="str">
        <x:v>Clear cached VPN credentials and authenticate with the new password.</x:v>
      </x:c>
      <x:c r="R64" s="22" t="n">
        <x:v>0.71</x:v>
      </x:c>
      <x:c r="S64" s="16" t="str">
        <x:v>No</x:v>
      </x:c>
      <x:c r="T64" s="16" t="str">
        <x:v>Low confidence</x:v>
      </x:c>
      <x:c r="U64" s="16" t="str">
        <x:v>Human-edited AI draft</x:v>
      </x:c>
      <x:c r="V64" s="16" t="str">
        <x:v>Approved</x:v>
      </x:c>
      <x:c r="W64" s="16" t="str">
        <x:v>Synthetic ticket 60; no real customer or personal data.</x:v>
      </x:c>
    </x:row>
    <x:row r="65">
      <x:c r="A65" s="16" t="str">
        <x:v>TKT-0061</x:v>
      </x:c>
      <x:c r="B65" s="16" t="str">
        <x:v>Historical: GrainTrack stock is not updating</x:v>
      </x:c>
      <x:c r="C65" s="16" t="str">
        <x:v>Business Applications</x:v>
      </x:c>
      <x:c r="D65" s="16" t="str">
        <x:v>SYS-003</x:v>
      </x:c>
      <x:c r="E65" s="16" t="str">
        <x:v>Critical</x:v>
      </x:c>
      <x:c r="F65" s="16" t="str">
        <x:v>Resolved</x:v>
      </x:c>
      <x:c r="G65" s="19" t="n">
        <x:v>45771.5</x:v>
      </x:c>
      <x:c r="H65" s="19" t="n">
        <x:v>45773.5</x:v>
      </x:c>
      <x:c r="I65" s="16" t="str">
        <x:v>EMP-038</x:v>
      </x:c>
      <x:c r="J65" s="16" t="str">
        <x:v>Nadia Rahman</x:v>
      </x:c>
      <x:c r="K65" s="16" t="str">
        <x:v>Warehouse</x:v>
      </x:c>
      <x:c r="L65" s="16" t="str"/>
      <x:c r="M65" s="16" t="str">
        <x:v>AGT-003</x:v>
      </x:c>
      <x:c r="N65" s="16" t="str">
        <x:v>Aisha Rahman</x:v>
      </x:c>
      <x:c r="O65" s="16" t="str">
        <x:v>KB-013</x:v>
      </x:c>
      <x:c r="P65" s="16" t="str">
        <x:v>Multiple warehouse users see stale inventory.</x:v>
      </x:c>
      <x:c r="Q65" s="16" t="str">
        <x:v>Pause manual adjustments and restore the inventory integration.</x:v>
      </x:c>
      <x:c r="R65" s="22" t="n">
        <x:v>0.72</x:v>
      </x:c>
      <x:c r="S65" s="16" t="str">
        <x:v>No</x:v>
      </x:c>
      <x:c r="T65" s="16" t="str">
        <x:v>Major incident review</x:v>
      </x:c>
      <x:c r="U65" s="16" t="str">
        <x:v>Human response</x:v>
      </x:c>
      <x:c r="V65" s="16" t="str">
        <x:v>Approved</x:v>
      </x:c>
      <x:c r="W65" s="16" t="str">
        <x:v>Synthetic ticket 61; no real customer or personal data.</x:v>
      </x:c>
    </x:row>
    <x:row r="66">
      <x:c r="A66" s="16" t="str">
        <x:v>TKT-0062</x:v>
      </x:c>
      <x:c r="B66" s="16" t="str">
        <x:v>Historical: Unexpected sign-in from another country</x:v>
      </x:c>
      <x:c r="C66" s="16" t="str">
        <x:v>Security</x:v>
      </x:c>
      <x:c r="D66" s="16" t="str">
        <x:v>SYS-008</x:v>
      </x:c>
      <x:c r="E66" s="16" t="str">
        <x:v>Critical</x:v>
      </x:c>
      <x:c r="F66" s="16" t="str">
        <x:v>Resolved</x:v>
      </x:c>
      <x:c r="G66" s="19" t="n">
        <x:v>45846.5</x:v>
      </x:c>
      <x:c r="H66" s="19" t="n">
        <x:v>45848.5</x:v>
      </x:c>
      <x:c r="I66" s="16" t="str">
        <x:v>EMP-055</x:v>
      </x:c>
      <x:c r="J66" s="16" t="str">
        <x:v>Marta Mazur</x:v>
      </x:c>
      <x:c r="K66" s="16" t="str">
        <x:v>Warehouse</x:v>
      </x:c>
      <x:c r="L66" s="16" t="str">
        <x:v>AST-068</x:v>
      </x:c>
      <x:c r="M66" s="16" t="str">
        <x:v>AGT-005</x:v>
      </x:c>
      <x:c r="N66" s="16" t="str">
        <x:v>Yuki Tanaka</x:v>
      </x:c>
      <x:c r="O66" s="16" t="str">
        <x:v>KB-020</x:v>
      </x:c>
      <x:c r="P66" s="16" t="str">
        <x:v>Possible account compromise.</x:v>
      </x:c>
      <x:c r="Q66" s="16" t="str">
        <x:v>Revoke sessions, reset credentials, and open a security incident.</x:v>
      </x:c>
      <x:c r="R66" s="22" t="n">
        <x:v>0.73</x:v>
      </x:c>
      <x:c r="S66" s="16" t="str">
        <x:v>No</x:v>
      </x:c>
      <x:c r="T66" s="16" t="str">
        <x:v>Mandatory security escalation</x:v>
      </x:c>
      <x:c r="U66" s="16" t="str">
        <x:v>Human response</x:v>
      </x:c>
      <x:c r="V66" s="16" t="str">
        <x:v>Approved</x:v>
      </x:c>
      <x:c r="W66" s="16" t="str">
        <x:v>Synthetic ticket 62; no real customer or personal data.</x:v>
      </x:c>
    </x:row>
    <x:row r="67">
      <x:c r="A67" s="16" t="str">
        <x:v>TKT-0063</x:v>
      </x:c>
      <x:c r="B67" s="16" t="str">
        <x:v>Historical: MFA prompt never arrives</x:v>
      </x:c>
      <x:c r="C67" s="16" t="str">
        <x:v>Identity &amp; Access</x:v>
      </x:c>
      <x:c r="D67" s="16" t="str">
        <x:v>SYS-008</x:v>
      </x:c>
      <x:c r="E67" s="16" t="str">
        <x:v>High</x:v>
      </x:c>
      <x:c r="F67" s="16" t="str">
        <x:v>Resolved</x:v>
      </x:c>
      <x:c r="G67" s="19" t="n">
        <x:v>45949.5</x:v>
      </x:c>
      <x:c r="H67" s="19" t="n">
        <x:v>45951.5</x:v>
      </x:c>
      <x:c r="I67" s="16" t="str">
        <x:v>EMP-072</x:v>
      </x:c>
      <x:c r="J67" s="16" t="str">
        <x:v>Jakub Chen</x:v>
      </x:c>
      <x:c r="K67" s="16" t="str">
        <x:v>Finance</x:v>
      </x:c>
      <x:c r="L67" s="16" t="str"/>
      <x:c r="M67" s="16" t="str">
        <x:v>AGT-001</x:v>
      </x:c>
      <x:c r="N67" s="16" t="str">
        <x:v>Sofia Alvarez</x:v>
      </x:c>
      <x:c r="O67" s="16" t="str">
        <x:v>KB-003</x:v>
      </x:c>
      <x:c r="P67" s="16" t="str">
        <x:v>User is blocked from all SSO applications.</x:v>
      </x:c>
      <x:c r="Q67" s="16" t="str">
        <x:v>Verify identity and re-register the approved MFA method.</x:v>
      </x:c>
      <x:c r="R67" s="22" t="n">
        <x:v>0.74</x:v>
      </x:c>
      <x:c r="S67" s="16" t="str">
        <x:v>No</x:v>
      </x:c>
      <x:c r="T67" s="16" t="str">
        <x:v>Low confidence</x:v>
      </x:c>
      <x:c r="U67" s="16" t="str">
        <x:v>AI draft approved</x:v>
      </x:c>
      <x:c r="V67" s="16" t="str">
        <x:v>Corrected</x:v>
      </x:c>
      <x:c r="W67" s="16" t="str">
        <x:v>Synthetic ticket 63; no real customer or personal data.</x:v>
      </x:c>
    </x:row>
    <x:row r="68">
      <x:c r="A68" s="16" t="str">
        <x:v>TKT-0064</x:v>
      </x:c>
      <x:c r="B68" s="16" t="str">
        <x:v>Historical: ExportHub access requested for new salesperson</x:v>
      </x:c>
      <x:c r="C68" s="16" t="str">
        <x:v>Service Request</x:v>
      </x:c>
      <x:c r="D68" s="16" t="str">
        <x:v>SYS-004</x:v>
      </x:c>
      <x:c r="E68" s="16" t="str">
        <x:v>Low</x:v>
      </x:c>
      <x:c r="F68" s="16" t="str">
        <x:v>Resolved</x:v>
      </x:c>
      <x:c r="G68" s="19" t="n">
        <x:v>45660.5</x:v>
      </x:c>
      <x:c r="H68" s="19" t="n">
        <x:v>45662.5</x:v>
      </x:c>
      <x:c r="I68" s="16" t="str">
        <x:v>EMP-089</x:v>
      </x:c>
      <x:c r="J68" s="16" t="str">
        <x:v>Marta O'Connor</x:v>
      </x:c>
      <x:c r="K68" s="16" t="str">
        <x:v>Operations</x:v>
      </x:c>
      <x:c r="L68" s="16" t="str"/>
      <x:c r="M68" s="16" t="str">
        <x:v>AGT-003</x:v>
      </x:c>
      <x:c r="N68" s="16" t="str">
        <x:v>Aisha Rahman</x:v>
      </x:c>
      <x:c r="O68" s="16" t="str">
        <x:v>KB-014</x:v>
      </x:c>
      <x:c r="P68" s="16" t="str">
        <x:v>New employee needs CRM access.</x:v>
      </x:c>
      <x:c r="Q68" s="16" t="str">
        <x:v>Obtain manager approval and assign the standard sales role.</x:v>
      </x:c>
      <x:c r="R68" s="22" t="n">
        <x:v>0.75</x:v>
      </x:c>
      <x:c r="S68" s="16" t="str">
        <x:v>No</x:v>
      </x:c>
      <x:c r="T68" s="16" t="str">
        <x:v>Low confidence</x:v>
      </x:c>
      <x:c r="U68" s="16" t="str">
        <x:v>Human-edited AI draft</x:v>
      </x:c>
      <x:c r="V68" s="16" t="str">
        <x:v>Approved</x:v>
      </x:c>
      <x:c r="W68" s="16" t="str">
        <x:v>Synthetic ticket 64; no real customer or personal data.</x:v>
      </x:c>
    </x:row>
    <x:row r="69">
      <x:c r="A69" s="16" t="str">
        <x:v>TKT-0065</x:v>
      </x:c>
      <x:c r="B69" s="16" t="str">
        <x:v>Historical: Company laptop lost during travel</x:v>
      </x:c>
      <x:c r="C69" s="16" t="str">
        <x:v>Security</x:v>
      </x:c>
      <x:c r="D69" s="16" t="str">
        <x:v>SYS-015</x:v>
      </x:c>
      <x:c r="E69" s="16" t="str">
        <x:v>Critical</x:v>
      </x:c>
      <x:c r="F69" s="16" t="str">
        <x:v>Closed</x:v>
      </x:c>
      <x:c r="G69" s="19" t="n">
        <x:v>45761.5</x:v>
      </x:c>
      <x:c r="H69" s="19" t="n">
        <x:v>45763.5</x:v>
      </x:c>
      <x:c r="I69" s="16" t="str">
        <x:v>EMP-006</x:v>
      </x:c>
      <x:c r="J69" s="16" t="str">
        <x:v>Nadia Rahman</x:v>
      </x:c>
      <x:c r="K69" s="16" t="str">
        <x:v>Export Sales</x:v>
      </x:c>
      <x:c r="L69" s="16" t="str"/>
      <x:c r="M69" s="16" t="str">
        <x:v>AGT-005</x:v>
      </x:c>
      <x:c r="N69" s="16" t="str">
        <x:v>Yuki Tanaka</x:v>
      </x:c>
      <x:c r="O69" s="16" t="str">
        <x:v>KB-021</x:v>
      </x:c>
      <x:c r="P69" s="16" t="str">
        <x:v>Managed device may be exposed.</x:v>
      </x:c>
      <x:c r="Q69" s="16" t="str">
        <x:v>Remote lock the device and initiate the security response procedure.</x:v>
      </x:c>
      <x:c r="R69" s="22" t="n">
        <x:v>0.76</x:v>
      </x:c>
      <x:c r="S69" s="16" t="str">
        <x:v>No</x:v>
      </x:c>
      <x:c r="T69" s="16" t="str">
        <x:v>Mandatory security escalation</x:v>
      </x:c>
      <x:c r="U69" s="16" t="str">
        <x:v>Human response</x:v>
      </x:c>
      <x:c r="V69" s="16" t="str">
        <x:v>Approved</x:v>
      </x:c>
      <x:c r="W69" s="16" t="str">
        <x:v>Synthetic ticket 65; no real customer or personal data.</x:v>
      </x:c>
    </x:row>
    <x:row r="70">
      <x:c r="A70" s="16" t="str">
        <x:v>TKT-0066</x:v>
      </x:c>
      <x:c r="B70" s="16" t="str">
        <x:v>Historical: Account locked after repeated sign-in</x:v>
      </x:c>
      <x:c r="C70" s="16" t="str">
        <x:v>Identity &amp; Access</x:v>
      </x:c>
      <x:c r="D70" s="16" t="str">
        <x:v>SYS-008</x:v>
      </x:c>
      <x:c r="E70" s="16" t="str">
        <x:v>Medium</x:v>
      </x:c>
      <x:c r="F70" s="16" t="str">
        <x:v>Closed</x:v>
      </x:c>
      <x:c r="G70" s="19" t="n">
        <x:v>45863.5</x:v>
      </x:c>
      <x:c r="H70" s="19" t="n">
        <x:v>45865.5</x:v>
      </x:c>
      <x:c r="I70" s="16" t="str">
        <x:v>EMP-023</x:v>
      </x:c>
      <x:c r="J70" s="16" t="str">
        <x:v>Yuki Garcia</x:v>
      </x:c>
      <x:c r="K70" s="16" t="str">
        <x:v>Logistics</x:v>
      </x:c>
      <x:c r="L70" s="16" t="str"/>
      <x:c r="M70" s="16" t="str">
        <x:v>AGT-001</x:v>
      </x:c>
      <x:c r="N70" s="16" t="str">
        <x:v>Sofia Alvarez</x:v>
      </x:c>
      <x:c r="O70" s="16" t="str">
        <x:v>KB-004</x:v>
      </x:c>
      <x:c r="P70" s="16" t="str">
        <x:v>User cannot sign in to company systems.</x:v>
      </x:c>
      <x:c r="Q70" s="16" t="str">
        <x:v>Identify lockout source, verify identity, and unlock the account.</x:v>
      </x:c>
      <x:c r="R70" s="22" t="n">
        <x:v>0.77</x:v>
      </x:c>
      <x:c r="S70" s="16" t="str">
        <x:v>No</x:v>
      </x:c>
      <x:c r="T70" s="16" t="str">
        <x:v>Low confidence</x:v>
      </x:c>
      <x:c r="U70" s="16" t="str">
        <x:v>AI draft approved</x:v>
      </x:c>
      <x:c r="V70" s="16" t="str">
        <x:v>Approved</x:v>
      </x:c>
      <x:c r="W70" s="16" t="str">
        <x:v>Synthetic ticket 66; no real customer or personal data.</x:v>
      </x:c>
    </x:row>
    <x:row r="71">
      <x:c r="A71" s="16" t="str">
        <x:v>TKT-0067</x:v>
      </x:c>
      <x:c r="B71" s="16" t="str">
        <x:v>Historical: CertiRice rejects quality certificate</x:v>
      </x:c>
      <x:c r="C71" s="16" t="str">
        <x:v>Business Applications</x:v>
      </x:c>
      <x:c r="D71" s="16" t="str">
        <x:v>SYS-005</x:v>
      </x:c>
      <x:c r="E71" s="16" t="str">
        <x:v>Medium</x:v>
      </x:c>
      <x:c r="F71" s="16" t="str">
        <x:v>Waiting for customer</x:v>
      </x:c>
      <x:c r="G71" s="19" t="n">
        <x:v>45939.5</x:v>
      </x:c>
      <x:c r="H71" s="19" t="str"/>
      <x:c r="I71" s="16" t="str">
        <x:v>EMP-040</x:v>
      </x:c>
      <x:c r="J71" s="16" t="str">
        <x:v>Hanna Zieliński</x:v>
      </x:c>
      <x:c r="K71" s="16" t="str">
        <x:v>Warehouse</x:v>
      </x:c>
      <x:c r="L71" s="16" t="str"/>
      <x:c r="M71" s="16" t="str">
        <x:v>AGT-003</x:v>
      </x:c>
      <x:c r="N71" s="16" t="str">
        <x:v>Aisha Rahman</x:v>
      </x:c>
      <x:c r="O71" s="16" t="str">
        <x:v>KB-015</x:v>
      </x:c>
      <x:c r="P71" s="16" t="str">
        <x:v>Certificate cannot be attached to a shipment.</x:v>
      </x:c>
      <x:c r="Q71" s="16" t="str"/>
      <x:c r="R71" s="22" t="n">
        <x:v>0.78</x:v>
      </x:c>
      <x:c r="S71" s="16" t="str">
        <x:v>No</x:v>
      </x:c>
      <x:c r="T71" s="16" t="str">
        <x:v>Low confidence</x:v>
      </x:c>
      <x:c r="U71" s="16" t="str"/>
      <x:c r="V71" s="16" t="str">
        <x:v>Pending</x:v>
      </x:c>
      <x:c r="W71" s="16" t="str">
        <x:v>Synthetic ticket 67; no real customer or personal data.</x:v>
      </x:c>
    </x:row>
    <x:row r="72">
      <x:c r="A72" s="16" t="str">
        <x:v>TKT-0068</x:v>
      </x:c>
      <x:c r="B72" s="16" t="str">
        <x:v>Historical: Approved software installation request</x:v>
      </x:c>
      <x:c r="C72" s="16" t="str">
        <x:v>Service Request</x:v>
      </x:c>
      <x:c r="D72" s="16" t="str">
        <x:v>SYS-015</x:v>
      </x:c>
      <x:c r="E72" s="16" t="str">
        <x:v>Low</x:v>
      </x:c>
      <x:c r="F72" s="16" t="str">
        <x:v>In progress</x:v>
      </x:c>
      <x:c r="G72" s="19" t="n">
        <x:v>45677.5</x:v>
      </x:c>
      <x:c r="H72" s="19" t="str"/>
      <x:c r="I72" s="16" t="str">
        <x:v>EMP-057</x:v>
      </x:c>
      <x:c r="J72" s="16" t="str">
        <x:v>Jakub Pawlak</x:v>
      </x:c>
      <x:c r="K72" s="16" t="str">
        <x:v>Quality Control</x:v>
      </x:c>
      <x:c r="L72" s="16" t="str"/>
      <x:c r="M72" s="16" t="str">
        <x:v>AGT-002</x:v>
      </x:c>
      <x:c r="N72" s="16" t="str">
        <x:v>Liam O'Connor</x:v>
      </x:c>
      <x:c r="O72" s="16" t="str">
        <x:v>KB-022</x:v>
      </x:c>
      <x:c r="P72" s="16" t="str">
        <x:v>Employee requires an approved productivity tool.</x:v>
      </x:c>
      <x:c r="Q72" s="16" t="str"/>
      <x:c r="R72" s="22" t="n">
        <x:v>0.79</x:v>
      </x:c>
      <x:c r="S72" s="16" t="str">
        <x:v>No</x:v>
      </x:c>
      <x:c r="T72" s="16" t="str">
        <x:v>Low confidence</x:v>
      </x:c>
      <x:c r="U72" s="16" t="str"/>
      <x:c r="V72" s="16" t="str">
        <x:v>Pending</x:v>
      </x:c>
      <x:c r="W72" s="16" t="str">
        <x:v>Synthetic ticket 68; no real customer or personal data.</x:v>
      </x:c>
    </x:row>
    <x:row r="73">
      <x:c r="A73" s="16" t="str">
        <x:v>TKT-0069</x:v>
      </x:c>
      <x:c r="B73" s="16" t="str">
        <x:v>Historical: Warehouse scanner will not sync</x:v>
      </x:c>
      <x:c r="C73" s="16" t="str">
        <x:v>Hardware</x:v>
      </x:c>
      <x:c r="D73" s="16" t="str">
        <x:v>SYS-003</x:v>
      </x:c>
      <x:c r="E73" s="16" t="str">
        <x:v>High</x:v>
      </x:c>
      <x:c r="F73" s="16" t="str">
        <x:v>Open</x:v>
      </x:c>
      <x:c r="G73" s="19" t="n">
        <x:v>45751.5</x:v>
      </x:c>
      <x:c r="H73" s="19" t="str"/>
      <x:c r="I73" s="16" t="str">
        <x:v>EMP-074</x:v>
      </x:c>
      <x:c r="J73" s="16" t="str">
        <x:v>Marek Alvarez</x:v>
      </x:c>
      <x:c r="K73" s="16" t="str">
        <x:v>Procurement</x:v>
      </x:c>
      <x:c r="L73" s="16" t="str">
        <x:v>AST-021</x:v>
      </x:c>
      <x:c r="M73" s="16" t="str">
        <x:v>AGT-002</x:v>
      </x:c>
      <x:c r="N73" s="16" t="str">
        <x:v>Liam O'Connor</x:v>
      </x:c>
      <x:c r="O73" s="16" t="str">
        <x:v>KB-010</x:v>
      </x:c>
      <x:c r="P73" s="16" t="str">
        <x:v>Picking activity is delayed for one operator.</x:v>
      </x:c>
      <x:c r="Q73" s="16" t="str"/>
      <x:c r="R73" s="22" t="n">
        <x:v>0.8</x:v>
      </x:c>
      <x:c r="S73" s="16" t="str">
        <x:v>Yes</x:v>
      </x:c>
      <x:c r="T73" s="16" t="str">
        <x:v>None</x:v>
      </x:c>
      <x:c r="U73" s="16" t="str"/>
      <x:c r="V73" s="16" t="str">
        <x:v>Pending</x:v>
      </x:c>
      <x:c r="W73" s="16" t="str">
        <x:v>Synthetic ticket 69; no real customer or personal data.</x:v>
      </x:c>
    </x:row>
    <x:row r="74">
      <x:c r="A74" s="16" t="str">
        <x:v>TKT-0070</x:v>
      </x:c>
      <x:c r="B74" s="16" t="str">
        <x:v>Historical: ShipLink cannot find container</x:v>
      </x:c>
      <x:c r="C74" s="16" t="str">
        <x:v>Business Applications</x:v>
      </x:c>
      <x:c r="D74" s="16" t="str">
        <x:v>SYS-006</x:v>
      </x:c>
      <x:c r="E74" s="16" t="str">
        <x:v>Medium</x:v>
      </x:c>
      <x:c r="F74" s="16" t="str">
        <x:v>Resolved</x:v>
      </x:c>
      <x:c r="G74" s="19" t="n">
        <x:v>45853.5</x:v>
      </x:c>
      <x:c r="H74" s="19" t="n">
        <x:v>45853.5</x:v>
      </x:c>
      <x:c r="I74" s="16" t="str">
        <x:v>EMP-091</x:v>
      </x:c>
      <x:c r="J74" s="16" t="str">
        <x:v>Ola Mazur</x:v>
      </x:c>
      <x:c r="K74" s="16" t="str">
        <x:v>HR &amp; Administration</x:v>
      </x:c>
      <x:c r="L74" s="16" t="str"/>
      <x:c r="M74" s="16" t="str">
        <x:v>AGT-003</x:v>
      </x:c>
      <x:c r="N74" s="16" t="str">
        <x:v>Aisha Rahman</x:v>
      </x:c>
      <x:c r="O74" s="16" t="str">
        <x:v>KB-016</x:v>
      </x:c>
      <x:c r="P74" s="16" t="str">
        <x:v>Logistics cannot view carrier tracking.</x:v>
      </x:c>
      <x:c r="Q74" s="16" t="str">
        <x:v>Validate the container reference and refresh the carrier integration.</x:v>
      </x:c>
      <x:c r="R74" s="22" t="n">
        <x:v>0.81</x:v>
      </x:c>
      <x:c r="S74" s="16" t="str">
        <x:v>Yes</x:v>
      </x:c>
      <x:c r="T74" s="16" t="str">
        <x:v>None</x:v>
      </x:c>
      <x:c r="U74" s="16" t="str">
        <x:v>Human response</x:v>
      </x:c>
      <x:c r="V74" s="16" t="str">
        <x:v>Approved</x:v>
      </x:c>
      <x:c r="W74" s="16" t="str">
        <x:v>Synthetic ticket 70; no real customer or personal data.</x:v>
      </x:c>
    </x:row>
    <x:row r="75">
      <x:c r="A75" s="16" t="str">
        <x:v>TKT-0071</x:v>
      </x:c>
      <x:c r="B75" s="16" t="str">
        <x:v>Historical: New employee IT onboarding</x:v>
      </x:c>
      <x:c r="C75" s="16" t="str">
        <x:v>Service Request</x:v>
      </x:c>
      <x:c r="D75" s="16" t="str">
        <x:v>SYS-008</x:v>
      </x:c>
      <x:c r="E75" s="16" t="str">
        <x:v>Medium</x:v>
      </x:c>
      <x:c r="F75" s="16" t="str">
        <x:v>Resolved</x:v>
      </x:c>
      <x:c r="G75" s="19" t="n">
        <x:v>45956.5</x:v>
      </x:c>
      <x:c r="H75" s="19" t="n">
        <x:v>45956.5</x:v>
      </x:c>
      <x:c r="I75" s="16" t="str">
        <x:v>EMP-008</x:v>
      </x:c>
      <x:c r="J75" s="16" t="str">
        <x:v>Hanna Zieliński</x:v>
      </x:c>
      <x:c r="K75" s="16" t="str">
        <x:v>Export Sales</x:v>
      </x:c>
      <x:c r="L75" s="16" t="str"/>
      <x:c r="M75" s="16" t="str">
        <x:v>AGT-001</x:v>
      </x:c>
      <x:c r="N75" s="16" t="str">
        <x:v>Sofia Alvarez</x:v>
      </x:c>
      <x:c r="O75" s="16" t="str">
        <x:v>KB-023</x:v>
      </x:c>
      <x:c r="P75" s="16" t="str">
        <x:v>New starter requires baseline equipment and access.</x:v>
      </x:c>
      <x:c r="Q75" s="16" t="str">
        <x:v>Provision baseline account, MFA, groups, and assigned device.</x:v>
      </x:c>
      <x:c r="R75" s="22" t="n">
        <x:v>0.82</x:v>
      </x:c>
      <x:c r="S75" s="16" t="str">
        <x:v>Yes</x:v>
      </x:c>
      <x:c r="T75" s="16" t="str">
        <x:v>None</x:v>
      </x:c>
      <x:c r="U75" s="16" t="str">
        <x:v>Human response</x:v>
      </x:c>
      <x:c r="V75" s="16" t="str">
        <x:v>Approved</x:v>
      </x:c>
      <x:c r="W75" s="16" t="str">
        <x:v>Synthetic ticket 71; no real customer or personal data.</x:v>
      </x:c>
    </x:row>
    <x:row r="76">
      <x:c r="A76" s="16" t="str">
        <x:v>TKT-0072</x:v>
      </x:c>
      <x:c r="B76" s="16" t="str">
        <x:v>Historical: Label printer produces blank labels</x:v>
      </x:c>
      <x:c r="C76" s="16" t="str">
        <x:v>Hardware</x:v>
      </x:c>
      <x:c r="D76" s="16" t="str">
        <x:v>SYS-013</x:v>
      </x:c>
      <x:c r="E76" s="16" t="str">
        <x:v>High</x:v>
      </x:c>
      <x:c r="F76" s="16" t="str">
        <x:v>Resolved</x:v>
      </x:c>
      <x:c r="G76" s="19" t="n">
        <x:v>45667.5</x:v>
      </x:c>
      <x:c r="H76" s="19" t="n">
        <x:v>45667.5</x:v>
      </x:c>
      <x:c r="I76" s="16" t="str">
        <x:v>EMP-025</x:v>
      </x:c>
      <x:c r="J76" s="16" t="str">
        <x:v>Marek Lis</x:v>
      </x:c>
      <x:c r="K76" s="16" t="str">
        <x:v>Logistics</x:v>
      </x:c>
      <x:c r="L76" s="16" t="str"/>
      <x:c r="M76" s="16" t="str">
        <x:v>AGT-002</x:v>
      </x:c>
      <x:c r="N76" s="16" t="str">
        <x:v>Liam O'Connor</x:v>
      </x:c>
      <x:c r="O76" s="16" t="str">
        <x:v>KB-009</x:v>
      </x:c>
      <x:c r="P76" s="16" t="str">
        <x:v>Outbound pallet labeling is delayed.</x:v>
      </x:c>
      <x:c r="Q76" s="16" t="str">
        <x:v>Reload media, calibrate printer, and restart the managed print queue.</x:v>
      </x:c>
      <x:c r="R76" s="22" t="n">
        <x:v>0.83</x:v>
      </x:c>
      <x:c r="S76" s="16" t="str">
        <x:v>Yes</x:v>
      </x:c>
      <x:c r="T76" s="16" t="str">
        <x:v>None</x:v>
      </x:c>
      <x:c r="U76" s="16" t="str">
        <x:v>Human-edited AI draft</x:v>
      </x:c>
      <x:c r="V76" s="16" t="str">
        <x:v>Corrected</x:v>
      </x:c>
      <x:c r="W76" s="16" t="str">
        <x:v>Synthetic ticket 72; no real customer or personal data.</x:v>
      </x:c>
    </x:row>
    <x:row r="77">
      <x:c r="A77" s="16" t="str">
        <x:v>TKT-0073</x:v>
      </x:c>
      <x:c r="B77" s="16" t="str">
        <x:v>Historical: Deleted pricing workbook in SharePoint</x:v>
      </x:c>
      <x:c r="C77" s="16" t="str">
        <x:v>Collaboration</x:v>
      </x:c>
      <x:c r="D77" s="16" t="str">
        <x:v>SYS-010</x:v>
      </x:c>
      <x:c r="E77" s="16" t="str">
        <x:v>High</x:v>
      </x:c>
      <x:c r="F77" s="16" t="str">
        <x:v>Resolved</x:v>
      </x:c>
      <x:c r="G77" s="19" t="n">
        <x:v>46133.5</x:v>
      </x:c>
      <x:c r="H77" s="19" t="n">
        <x:v>46133.5</x:v>
      </x:c>
      <x:c r="I77" s="16" t="str">
        <x:v>EMP-042</x:v>
      </x:c>
      <x:c r="J77" s="16" t="str">
        <x:v>Sara Jankowski</x:v>
      </x:c>
      <x:c r="K77" s="16" t="str">
        <x:v>Warehouse</x:v>
      </x:c>
      <x:c r="L77" s="16" t="str"/>
      <x:c r="M77" s="16" t="str">
        <x:v>AGT-003</x:v>
      </x:c>
      <x:c r="N77" s="16" t="str">
        <x:v>Aisha Rahman</x:v>
      </x:c>
      <x:c r="O77" s="16" t="str">
        <x:v>KB-017</x:v>
      </x:c>
      <x:c r="P77" s="16" t="str">
        <x:v>Sales team needs a recently deleted file.</x:v>
      </x:c>
      <x:c r="Q77" s="16" t="str">
        <x:v>Restore the correct retained version from the SharePoint recycle bin.</x:v>
      </x:c>
      <x:c r="R77" s="22" t="n">
        <x:v>0.84</x:v>
      </x:c>
      <x:c r="S77" s="16" t="str">
        <x:v>Yes</x:v>
      </x:c>
      <x:c r="T77" s="16" t="str">
        <x:v>None</x:v>
      </x:c>
      <x:c r="U77" s="16" t="str">
        <x:v>Human response</x:v>
      </x:c>
      <x:c r="V77" s="16" t="str">
        <x:v>Approved</x:v>
      </x:c>
      <x:c r="W77" s="16" t="str">
        <x:v>Synthetic ticket 73; no real customer or personal data.</x:v>
      </x:c>
    </x:row>
    <x:row r="78">
      <x:c r="A78" s="16" t="str">
        <x:v>TKT-0074</x:v>
      </x:c>
      <x:c r="B78" s="16" t="str">
        <x:v>Historical: Employee offboarding request</x:v>
      </x:c>
      <x:c r="C78" s="16" t="str">
        <x:v>Security</x:v>
      </x:c>
      <x:c r="D78" s="16" t="str">
        <x:v>SYS-008</x:v>
      </x:c>
      <x:c r="E78" s="16" t="str">
        <x:v>High</x:v>
      </x:c>
      <x:c r="F78" s="16" t="str">
        <x:v>Resolved</x:v>
      </x:c>
      <x:c r="G78" s="19" t="n">
        <x:v>46208.5</x:v>
      </x:c>
      <x:c r="H78" s="19" t="n">
        <x:v>46208.5</x:v>
      </x:c>
      <x:c r="I78" s="16" t="str">
        <x:v>EMP-059</x:v>
      </x:c>
      <x:c r="J78" s="16" t="str">
        <x:v>Sofia Zając</x:v>
      </x:c>
      <x:c r="K78" s="16" t="str">
        <x:v>Quality Control</x:v>
      </x:c>
      <x:c r="L78" s="16" t="str"/>
      <x:c r="M78" s="16" t="str">
        <x:v>AGT-005</x:v>
      </x:c>
      <x:c r="N78" s="16" t="str">
        <x:v>Yuki Tanaka</x:v>
      </x:c>
      <x:c r="O78" s="16" t="str">
        <x:v>KB-024</x:v>
      </x:c>
      <x:c r="P78" s="16" t="str">
        <x:v>Departing employee access must end on schedule.</x:v>
      </x:c>
      <x:c r="Q78" s="16" t="str">
        <x:v>Disable access, revoke sessions, preserve data, and recover assets.</x:v>
      </x:c>
      <x:c r="R78" s="22" t="n">
        <x:v>0.85</x:v>
      </x:c>
      <x:c r="S78" s="16" t="str">
        <x:v>No</x:v>
      </x:c>
      <x:c r="T78" s="16" t="str">
        <x:v>Mandatory security escalation</x:v>
      </x:c>
      <x:c r="U78" s="16" t="str">
        <x:v>Human response</x:v>
      </x:c>
      <x:c r="V78" s="16" t="str">
        <x:v>Approved</x:v>
      </x:c>
      <x:c r="W78" s="16" t="str">
        <x:v>Synthetic ticket 74; no real customer or personal data.</x:v>
      </x:c>
    </x:row>
    <x:row r="79">
      <x:c r="A79" s="16" t="str">
        <x:v>TKT-0075</x:v>
      </x:c>
      <x:c r="B79" s="16" t="str">
        <x:v>Historical: Laptop screen flickers through dock</x:v>
      </x:c>
      <x:c r="C79" s="16" t="str">
        <x:v>Hardware</x:v>
      </x:c>
      <x:c r="D79" s="16" t="str">
        <x:v>SYS-015</x:v>
      </x:c>
      <x:c r="E79" s="16" t="str">
        <x:v>Low</x:v>
      </x:c>
      <x:c r="F79" s="16" t="str">
        <x:v>Closed</x:v>
      </x:c>
      <x:c r="G79" s="19" t="n">
        <x:v>46311.5</x:v>
      </x:c>
      <x:c r="H79" s="19" t="n">
        <x:v>46311.5</x:v>
      </x:c>
      <x:c r="I79" s="16" t="str">
        <x:v>EMP-076</x:v>
      </x:c>
      <x:c r="J79" s="16" t="str">
        <x:v>Aisha Kaczmarek</x:v>
      </x:c>
      <x:c r="K79" s="16" t="str">
        <x:v>Procurement</x:v>
      </x:c>
      <x:c r="L79" s="16" t="str"/>
      <x:c r="M79" s="16" t="str">
        <x:v>AGT-002</x:v>
      </x:c>
      <x:c r="N79" s="16" t="str">
        <x:v>Liam O'Connor</x:v>
      </x:c>
      <x:c r="O79" s="16" t="str">
        <x:v>KB-008</x:v>
      </x:c>
      <x:c r="P79" s="16" t="str">
        <x:v>Employee can work using the laptop display.</x:v>
      </x:c>
      <x:c r="Q79" s="16" t="str">
        <x:v>Update dock firmware and replace the display cable.</x:v>
      </x:c>
      <x:c r="R79" s="22" t="n">
        <x:v>0.86</x:v>
      </x:c>
      <x:c r="S79" s="16" t="str">
        <x:v>Yes</x:v>
      </x:c>
      <x:c r="T79" s="16" t="str">
        <x:v>None</x:v>
      </x:c>
      <x:c r="U79" s="16" t="str">
        <x:v>AI draft approved</x:v>
      </x:c>
      <x:c r="V79" s="16" t="str">
        <x:v>Approved</x:v>
      </x:c>
      <x:c r="W79" s="16" t="str">
        <x:v>Synthetic ticket 75; no real customer or personal data.</x:v>
      </x:c>
    </x:row>
    <x:row r="80">
      <x:c r="A80" s="16" t="str">
        <x:v>TKT-0076</x:v>
      </x:c>
      <x:c r="B80" s="16" t="str">
        <x:v>Historical: Teams microphone not detected</x:v>
      </x:c>
      <x:c r="C80" s="16" t="str">
        <x:v>Collaboration</x:v>
      </x:c>
      <x:c r="D80" s="16" t="str">
        <x:v>SYS-011</x:v>
      </x:c>
      <x:c r="E80" s="16" t="str">
        <x:v>Low</x:v>
      </x:c>
      <x:c r="F80" s="16" t="str">
        <x:v>Closed</x:v>
      </x:c>
      <x:c r="G80" s="19" t="n">
        <x:v>46049.5</x:v>
      </x:c>
      <x:c r="H80" s="19" t="n">
        <x:v>46049.5</x:v>
      </x:c>
      <x:c r="I80" s="16" t="str">
        <x:v>EMP-093</x:v>
      </x:c>
      <x:c r="J80" s="16" t="str">
        <x:v>Jan Szymański</x:v>
      </x:c>
      <x:c r="K80" s="16" t="str">
        <x:v>HR &amp; Administration</x:v>
      </x:c>
      <x:c r="L80" s="16" t="str"/>
      <x:c r="M80" s="16" t="str">
        <x:v>AGT-002</x:v>
      </x:c>
      <x:c r="N80" s="16" t="str">
        <x:v>Liam O'Connor</x:v>
      </x:c>
      <x:c r="O80" s="16" t="str">
        <x:v>KB-018</x:v>
      </x:c>
      <x:c r="P80" s="16" t="str">
        <x:v>User cannot speak during calls.</x:v>
      </x:c>
      <x:c r="Q80" s="16" t="str">
        <x:v>Select the correct device and restore OS microphone permission.</x:v>
      </x:c>
      <x:c r="R80" s="22" t="n">
        <x:v>0.87</x:v>
      </x:c>
      <x:c r="S80" s="16" t="str">
        <x:v>Yes</x:v>
      </x:c>
      <x:c r="T80" s="16" t="str">
        <x:v>None</x:v>
      </x:c>
      <x:c r="U80" s="16" t="str">
        <x:v>Human-edited AI draft</x:v>
      </x:c>
      <x:c r="V80" s="16" t="str">
        <x:v>Approved</x:v>
      </x:c>
      <x:c r="W80" s="16" t="str">
        <x:v>Synthetic ticket 76; no real customer or personal data.</x:v>
      </x:c>
    </x:row>
    <x:row r="81">
      <x:c r="A81" s="16" t="str">
        <x:v>TKT-0077</x:v>
      </x:c>
      <x:c r="B81" s="16" t="str">
        <x:v>Historical: Warehouse Wi-Fi unavailable</x:v>
      </x:c>
      <x:c r="C81" s="16" t="str">
        <x:v>Network &amp; VPN</x:v>
      </x:c>
      <x:c r="D81" s="16" t="str">
        <x:v>SYS-014</x:v>
      </x:c>
      <x:c r="E81" s="16" t="str">
        <x:v>Critical</x:v>
      </x:c>
      <x:c r="F81" s="16" t="str">
        <x:v>Waiting for customer</x:v>
      </x:c>
      <x:c r="G81" s="19" t="n">
        <x:v>46123.5</x:v>
      </x:c>
      <x:c r="H81" s="19" t="str"/>
      <x:c r="I81" s="16" t="str">
        <x:v>EMP-010</x:v>
      </x:c>
      <x:c r="J81" s="16" t="str">
        <x:v>Sara Jankowski</x:v>
      </x:c>
      <x:c r="K81" s="16" t="str">
        <x:v>Export Sales</x:v>
      </x:c>
      <x:c r="L81" s="16" t="str"/>
      <x:c r="M81" s="16" t="str">
        <x:v>AGT-004</x:v>
      </x:c>
      <x:c r="N81" s="16" t="str">
        <x:v>Mateusz Kowalski</x:v>
      </x:c>
      <x:c r="O81" s="16" t="str">
        <x:v>KB-025</x:v>
      </x:c>
      <x:c r="P81" s="16" t="str">
        <x:v>Multiple warehouse devices are offline.</x:v>
      </x:c>
      <x:c r="Q81" s="16" t="str"/>
      <x:c r="R81" s="22" t="n">
        <x:v>0.88</x:v>
      </x:c>
      <x:c r="S81" s="16" t="str">
        <x:v>No</x:v>
      </x:c>
      <x:c r="T81" s="16" t="str">
        <x:v>Major incident review</x:v>
      </x:c>
      <x:c r="U81" s="16" t="str"/>
      <x:c r="V81" s="16" t="str">
        <x:v>Pending</x:v>
      </x:c>
      <x:c r="W81" s="16" t="str">
        <x:v>Synthetic ticket 77; no real customer or personal data.</x:v>
      </x:c>
    </x:row>
    <x:row r="82">
      <x:c r="A82" s="16" t="str">
        <x:v>TKT-0078</x:v>
      </x:c>
      <x:c r="B82" s="16" t="str">
        <x:v>Historical: RiceFlow invoice export fails</x:v>
      </x:c>
      <x:c r="C82" s="16" t="str">
        <x:v>Business Applications</x:v>
      </x:c>
      <x:c r="D82" s="16" t="str">
        <x:v>SYS-002</x:v>
      </x:c>
      <x:c r="E82" s="16" t="str">
        <x:v>High</x:v>
      </x:c>
      <x:c r="F82" s="16" t="str">
        <x:v>In progress</x:v>
      </x:c>
      <x:c r="G82" s="19" t="n">
        <x:v>46225.5</x:v>
      </x:c>
      <x:c r="H82" s="19" t="str"/>
      <x:c r="I82" s="16" t="str">
        <x:v>EMP-027</x:v>
      </x:c>
      <x:c r="J82" s="16" t="str">
        <x:v>Aisha Sikora</x:v>
      </x:c>
      <x:c r="K82" s="16" t="str">
        <x:v>Logistics</x:v>
      </x:c>
      <x:c r="L82" s="16" t="str"/>
      <x:c r="M82" s="16" t="str">
        <x:v>AGT-003</x:v>
      </x:c>
      <x:c r="N82" s="16" t="str">
        <x:v>Aisha Rahman</x:v>
      </x:c>
      <x:c r="O82" s="16" t="str">
        <x:v>KB-012</x:v>
      </x:c>
      <x:c r="P82" s="16" t="str">
        <x:v>Finance cannot complete the daily invoice batch.</x:v>
      </x:c>
      <x:c r="Q82" s="16" t="str"/>
      <x:c r="R82" s="22" t="n">
        <x:v>0.89</x:v>
      </x:c>
      <x:c r="S82" s="16" t="str">
        <x:v>Yes</x:v>
      </x:c>
      <x:c r="T82" s="16" t="str">
        <x:v>None</x:v>
      </x:c>
      <x:c r="U82" s="16" t="str"/>
      <x:c r="V82" s="16" t="str">
        <x:v>Pending</x:v>
      </x:c>
      <x:c r="W82" s="16" t="str">
        <x:v>Synthetic ticket 78; no real customer or personal data.</x:v>
      </x:c>
    </x:row>
    <x:row r="83">
      <x:c r="A83" s="16" t="str">
        <x:v>TKT-0079</x:v>
      </x:c>
      <x:c r="B83" s="16" t="str">
        <x:v>Historical: Suspicious invoice email received</x:v>
      </x:c>
      <x:c r="C83" s="16" t="str">
        <x:v>Security</x:v>
      </x:c>
      <x:c r="D83" s="16" t="str">
        <x:v>SYS-016</x:v>
      </x:c>
      <x:c r="E83" s="16" t="str">
        <x:v>Critical</x:v>
      </x:c>
      <x:c r="F83" s="16" t="str">
        <x:v>Open</x:v>
      </x:c>
      <x:c r="G83" s="19" t="n">
        <x:v>46301.5</x:v>
      </x:c>
      <x:c r="H83" s="19" t="str"/>
      <x:c r="I83" s="16" t="str">
        <x:v>EMP-044</x:v>
      </x:c>
      <x:c r="J83" s="16" t="str">
        <x:v>Katarzyna Mazur</x:v>
      </x:c>
      <x:c r="K83" s="16" t="str">
        <x:v>Warehouse</x:v>
      </x:c>
      <x:c r="L83" s="16" t="str">
        <x:v>AST-034</x:v>
      </x:c>
      <x:c r="M83" s="16" t="str">
        <x:v>AGT-005</x:v>
      </x:c>
      <x:c r="N83" s="16" t="str">
        <x:v>Yuki Tanaka</x:v>
      </x:c>
      <x:c r="O83" s="16" t="str">
        <x:v>KB-019</x:v>
      </x:c>
      <x:c r="P83" s="16" t="str">
        <x:v>Potential phishing attempt targeting Finance.</x:v>
      </x:c>
      <x:c r="Q83" s="16" t="str"/>
      <x:c r="R83" s="22" t="n">
        <x:v>0.9</x:v>
      </x:c>
      <x:c r="S83" s="16" t="str">
        <x:v>No</x:v>
      </x:c>
      <x:c r="T83" s="16" t="str">
        <x:v>Mandatory security escalation</x:v>
      </x:c>
      <x:c r="U83" s="16" t="str"/>
      <x:c r="V83" s="16" t="str">
        <x:v>Pending</x:v>
      </x:c>
      <x:c r="W83" s="16" t="str">
        <x:v>Synthetic ticket 79; no real customer or personal data.</x:v>
      </x:c>
    </x:row>
    <x:row r="84">
      <x:c r="A84" s="16" t="str">
        <x:v>TKT-0080</x:v>
      </x:c>
      <x:c r="B84" s="16" t="str">
        <x:v>Historical: VPN authentication fails after password change</x:v>
      </x:c>
      <x:c r="C84" s="16" t="str">
        <x:v>Network &amp; VPN</x:v>
      </x:c>
      <x:c r="D84" s="16" t="str">
        <x:v>SYS-007</x:v>
      </x:c>
      <x:c r="E84" s="16" t="str">
        <x:v>Medium</x:v>
      </x:c>
      <x:c r="F84" s="16" t="str">
        <x:v>Resolved</x:v>
      </x:c>
      <x:c r="G84" s="19" t="n">
        <x:v>46039.5</x:v>
      </x:c>
      <x:c r="H84" s="19" t="n">
        <x:v>46039.5</x:v>
      </x:c>
      <x:c r="I84" s="16" t="str">
        <x:v>EMP-061</x:v>
      </x:c>
      <x:c r="J84" s="16" t="str">
        <x:v>Liam Garcia</x:v>
      </x:c>
      <x:c r="K84" s="16" t="str">
        <x:v>Quality Control</x:v>
      </x:c>
      <x:c r="L84" s="16" t="str"/>
      <x:c r="M84" s="16" t="str">
        <x:v>AGT-004</x:v>
      </x:c>
      <x:c r="N84" s="16" t="str">
        <x:v>Mateusz Kowalski</x:v>
      </x:c>
      <x:c r="O84" s="16" t="str">
        <x:v>KB-002</x:v>
      </x:c>
      <x:c r="P84" s="16" t="str">
        <x:v>User cannot reach internal resources remotely.</x:v>
      </x:c>
      <x:c r="Q84" s="16" t="str">
        <x:v>Clear cached VPN credentials and authenticate with the new password.</x:v>
      </x:c>
      <x:c r="R84" s="22" t="n">
        <x:v>0.91</x:v>
      </x:c>
      <x:c r="S84" s="16" t="str">
        <x:v>Yes</x:v>
      </x:c>
      <x:c r="T84" s="16" t="str">
        <x:v>None</x:v>
      </x:c>
      <x:c r="U84" s="16" t="str">
        <x:v>Human-edited AI draft</x:v>
      </x:c>
      <x:c r="V84" s="16" t="str">
        <x:v>Approved</x:v>
      </x:c>
      <x:c r="W84" s="16" t="str">
        <x:v>Synthetic ticket 80; no real customer or personal data.</x:v>
      </x:c>
    </x:row>
    <x:row r="85">
      <x:c r="A85" s="16" t="str">
        <x:v>TKT-0081</x:v>
      </x:c>
      <x:c r="B85" s="16" t="str">
        <x:v>Historical: GrainTrack stock is not updating</x:v>
      </x:c>
      <x:c r="C85" s="16" t="str">
        <x:v>Business Applications</x:v>
      </x:c>
      <x:c r="D85" s="16" t="str">
        <x:v>SYS-003</x:v>
      </x:c>
      <x:c r="E85" s="16" t="str">
        <x:v>Critical</x:v>
      </x:c>
      <x:c r="F85" s="16" t="str">
        <x:v>Resolved</x:v>
      </x:c>
      <x:c r="G85" s="19" t="n">
        <x:v>46113.5</x:v>
      </x:c>
      <x:c r="H85" s="19" t="n">
        <x:v>46113.5</x:v>
      </x:c>
      <x:c r="I85" s="16" t="str">
        <x:v>EMP-078</x:v>
      </x:c>
      <x:c r="J85" s="16" t="str">
        <x:v>Michał Nowak</x:v>
      </x:c>
      <x:c r="K85" s="16" t="str">
        <x:v>Procurement</x:v>
      </x:c>
      <x:c r="L85" s="16" t="str"/>
      <x:c r="M85" s="16" t="str">
        <x:v>AGT-003</x:v>
      </x:c>
      <x:c r="N85" s="16" t="str">
        <x:v>Aisha Rahman</x:v>
      </x:c>
      <x:c r="O85" s="16" t="str">
        <x:v>KB-013</x:v>
      </x:c>
      <x:c r="P85" s="16" t="str">
        <x:v>Multiple warehouse users see stale inventory.</x:v>
      </x:c>
      <x:c r="Q85" s="16" t="str">
        <x:v>Pause manual adjustments and restore the inventory integration.</x:v>
      </x:c>
      <x:c r="R85" s="22" t="n">
        <x:v>0.92</x:v>
      </x:c>
      <x:c r="S85" s="16" t="str">
        <x:v>No</x:v>
      </x:c>
      <x:c r="T85" s="16" t="str">
        <x:v>Major incident review</x:v>
      </x:c>
      <x:c r="U85" s="16" t="str">
        <x:v>AI draft approved</x:v>
      </x:c>
      <x:c r="V85" s="16" t="str">
        <x:v>Corrected</x:v>
      </x:c>
      <x:c r="W85" s="16" t="str">
        <x:v>Synthetic ticket 81; no real customer or personal data.</x:v>
      </x:c>
    </x:row>
    <x:row r="86">
      <x:c r="A86" s="16" t="str">
        <x:v>TKT-0082</x:v>
      </x:c>
      <x:c r="B86" s="16" t="str">
        <x:v>Historical: Unexpected sign-in from another country</x:v>
      </x:c>
      <x:c r="C86" s="16" t="str">
        <x:v>Security</x:v>
      </x:c>
      <x:c r="D86" s="16" t="str">
        <x:v>SYS-008</x:v>
      </x:c>
      <x:c r="E86" s="16" t="str">
        <x:v>Critical</x:v>
      </x:c>
      <x:c r="F86" s="16" t="str">
        <x:v>Resolved</x:v>
      </x:c>
      <x:c r="G86" s="19" t="n">
        <x:v>46215.5</x:v>
      </x:c>
      <x:c r="H86" s="19" t="n">
        <x:v>46215.5</x:v>
      </x:c>
      <x:c r="I86" s="16" t="str">
        <x:v>EMP-095</x:v>
      </x:c>
      <x:c r="J86" s="16" t="str">
        <x:v>Tomasz Bąk</x:v>
      </x:c>
      <x:c r="K86" s="16" t="str">
        <x:v>HR &amp; Administration</x:v>
      </x:c>
      <x:c r="L86" s="16" t="str">
        <x:v>AST-038</x:v>
      </x:c>
      <x:c r="M86" s="16" t="str">
        <x:v>AGT-005</x:v>
      </x:c>
      <x:c r="N86" s="16" t="str">
        <x:v>Yuki Tanaka</x:v>
      </x:c>
      <x:c r="O86" s="16" t="str">
        <x:v>KB-020</x:v>
      </x:c>
      <x:c r="P86" s="16" t="str">
        <x:v>Possible account compromise.</x:v>
      </x:c>
      <x:c r="Q86" s="16" t="str">
        <x:v>Revoke sessions, reset credentials, and open a security incident.</x:v>
      </x:c>
      <x:c r="R86" s="22" t="n">
        <x:v>0.93</x:v>
      </x:c>
      <x:c r="S86" s="16" t="str">
        <x:v>No</x:v>
      </x:c>
      <x:c r="T86" s="16" t="str">
        <x:v>Mandatory security escalation</x:v>
      </x:c>
      <x:c r="U86" s="16" t="str">
        <x:v>Human response</x:v>
      </x:c>
      <x:c r="V86" s="16" t="str">
        <x:v>Approved</x:v>
      </x:c>
      <x:c r="W86" s="16" t="str">
        <x:v>Synthetic ticket 82; no real customer or personal data.</x:v>
      </x:c>
    </x:row>
    <x:row r="87">
      <x:c r="A87" s="16" t="str">
        <x:v>TKT-0083</x:v>
      </x:c>
      <x:c r="B87" s="16" t="str">
        <x:v>Historical: MFA prompt never arrives</x:v>
      </x:c>
      <x:c r="C87" s="16" t="str">
        <x:v>Identity &amp; Access</x:v>
      </x:c>
      <x:c r="D87" s="16" t="str">
        <x:v>SYS-008</x:v>
      </x:c>
      <x:c r="E87" s="16" t="str">
        <x:v>High</x:v>
      </x:c>
      <x:c r="F87" s="16" t="str">
        <x:v>Resolved</x:v>
      </x:c>
      <x:c r="G87" s="19" t="n">
        <x:v>46318.5</x:v>
      </x:c>
      <x:c r="H87" s="19" t="n">
        <x:v>46318.5</x:v>
      </x:c>
      <x:c r="I87" s="16" t="str">
        <x:v>EMP-012</x:v>
      </x:c>
      <x:c r="J87" s="16" t="str">
        <x:v>Katarzyna Mazur</x:v>
      </x:c>
      <x:c r="K87" s="16" t="str">
        <x:v>Export Sales</x:v>
      </x:c>
      <x:c r="L87" s="16" t="str"/>
      <x:c r="M87" s="16" t="str">
        <x:v>AGT-001</x:v>
      </x:c>
      <x:c r="N87" s="16" t="str">
        <x:v>Sofia Alvarez</x:v>
      </x:c>
      <x:c r="O87" s="16" t="str">
        <x:v>KB-003</x:v>
      </x:c>
      <x:c r="P87" s="16" t="str">
        <x:v>User is blocked from all SSO applications.</x:v>
      </x:c>
      <x:c r="Q87" s="16" t="str">
        <x:v>Verify identity and re-register the approved MFA method.</x:v>
      </x:c>
      <x:c r="R87" s="22" t="n">
        <x:v>0.94</x:v>
      </x:c>
      <x:c r="S87" s="16" t="str">
        <x:v>Yes</x:v>
      </x:c>
      <x:c r="T87" s="16" t="str">
        <x:v>None</x:v>
      </x:c>
      <x:c r="U87" s="16" t="str">
        <x:v>Human response</x:v>
      </x:c>
      <x:c r="V87" s="16" t="str">
        <x:v>Approved</x:v>
      </x:c>
      <x:c r="W87" s="16" t="str">
        <x:v>Synthetic ticket 83; no real customer or personal data.</x:v>
      </x:c>
    </x:row>
    <x:row r="88">
      <x:c r="A88" s="16" t="str">
        <x:v>TKT-0084</x:v>
      </x:c>
      <x:c r="B88" s="16" t="str">
        <x:v>Historical: ExportHub access requested for new salesperson</x:v>
      </x:c>
      <x:c r="C88" s="16" t="str">
        <x:v>Service Request</x:v>
      </x:c>
      <x:c r="D88" s="16" t="str">
        <x:v>SYS-004</x:v>
      </x:c>
      <x:c r="E88" s="16" t="str">
        <x:v>Low</x:v>
      </x:c>
      <x:c r="F88" s="16" t="str">
        <x:v>Resolved</x:v>
      </x:c>
      <x:c r="G88" s="19" t="n">
        <x:v>46029.5</x:v>
      </x:c>
      <x:c r="H88" s="19" t="n">
        <x:v>46029.5</x:v>
      </x:c>
      <x:c r="I88" s="16" t="str">
        <x:v>EMP-029</x:v>
      </x:c>
      <x:c r="J88" s="16" t="str">
        <x:v>Michał Alvarez</x:v>
      </x:c>
      <x:c r="K88" s="16" t="str">
        <x:v>Logistics</x:v>
      </x:c>
      <x:c r="L88" s="16" t="str"/>
      <x:c r="M88" s="16" t="str">
        <x:v>AGT-003</x:v>
      </x:c>
      <x:c r="N88" s="16" t="str">
        <x:v>Aisha Rahman</x:v>
      </x:c>
      <x:c r="O88" s="16" t="str">
        <x:v>KB-014</x:v>
      </x:c>
      <x:c r="P88" s="16" t="str">
        <x:v>New employee needs CRM access.</x:v>
      </x:c>
      <x:c r="Q88" s="16" t="str">
        <x:v>Obtain manager approval and assign the standard sales role.</x:v>
      </x:c>
      <x:c r="R88" s="22" t="n">
        <x:v>0.95</x:v>
      </x:c>
      <x:c r="S88" s="16" t="str">
        <x:v>Yes</x:v>
      </x:c>
      <x:c r="T88" s="16" t="str">
        <x:v>None</x:v>
      </x:c>
      <x:c r="U88" s="16" t="str">
        <x:v>Human-edited AI draft</x:v>
      </x:c>
      <x:c r="V88" s="16" t="str">
        <x:v>Approved</x:v>
      </x:c>
      <x:c r="W88" s="16" t="str">
        <x:v>Synthetic ticket 84; no real customer or personal data.</x:v>
      </x:c>
    </x:row>
    <x:row r="89">
      <x:c r="A89" s="16" t="str">
        <x:v>TKT-0085</x:v>
      </x:c>
      <x:c r="B89" s="16" t="str">
        <x:v>Historical: Company laptop lost during travel</x:v>
      </x:c>
      <x:c r="C89" s="16" t="str">
        <x:v>Security</x:v>
      </x:c>
      <x:c r="D89" s="16" t="str">
        <x:v>SYS-015</x:v>
      </x:c>
      <x:c r="E89" s="16" t="str">
        <x:v>Critical</x:v>
      </x:c>
      <x:c r="F89" s="16" t="str">
        <x:v>Closed</x:v>
      </x:c>
      <x:c r="G89" s="19" t="n">
        <x:v>46130.5</x:v>
      </x:c>
      <x:c r="H89" s="19" t="n">
        <x:v>46130.5</x:v>
      </x:c>
      <x:c r="I89" s="16" t="str">
        <x:v>EMP-046</x:v>
      </x:c>
      <x:c r="J89" s="16" t="str">
        <x:v>Zofia Szymański</x:v>
      </x:c>
      <x:c r="K89" s="16" t="str">
        <x:v>Warehouse</x:v>
      </x:c>
      <x:c r="L89" s="16" t="str">
        <x:v>AST-013</x:v>
      </x:c>
      <x:c r="M89" s="16" t="str">
        <x:v>AGT-005</x:v>
      </x:c>
      <x:c r="N89" s="16" t="str">
        <x:v>Yuki Tanaka</x:v>
      </x:c>
      <x:c r="O89" s="16" t="str">
        <x:v>KB-021</x:v>
      </x:c>
      <x:c r="P89" s="16" t="str">
        <x:v>Managed device may be exposed.</x:v>
      </x:c>
      <x:c r="Q89" s="16" t="str">
        <x:v>Remote lock the device and initiate the security response procedure.</x:v>
      </x:c>
      <x:c r="R89" s="22" t="n">
        <x:v>0.96</x:v>
      </x:c>
      <x:c r="S89" s="16" t="str">
        <x:v>No</x:v>
      </x:c>
      <x:c r="T89" s="16" t="str">
        <x:v>Mandatory security escalation</x:v>
      </x:c>
      <x:c r="U89" s="16" t="str">
        <x:v>Human response</x:v>
      </x:c>
      <x:c r="V89" s="16" t="str">
        <x:v>Approved</x:v>
      </x:c>
      <x:c r="W89" s="16" t="str">
        <x:v>Synthetic ticket 85; no real customer or personal data.</x:v>
      </x:c>
    </x:row>
    <x:row r="90">
      <x:c r="A90" s="16" t="str">
        <x:v>TKT-0086</x:v>
      </x:c>
      <x:c r="B90" s="16" t="str">
        <x:v>Historical: Account locked after repeated sign-in</x:v>
      </x:c>
      <x:c r="C90" s="16" t="str">
        <x:v>Identity &amp; Access</x:v>
      </x:c>
      <x:c r="D90" s="16" t="str">
        <x:v>SYS-008</x:v>
      </x:c>
      <x:c r="E90" s="16" t="str">
        <x:v>Medium</x:v>
      </x:c>
      <x:c r="F90" s="16" t="str">
        <x:v>Closed</x:v>
      </x:c>
      <x:c r="G90" s="19" t="n">
        <x:v>46205.5</x:v>
      </x:c>
      <x:c r="H90" s="19" t="n">
        <x:v>46205.5</x:v>
      </x:c>
      <x:c r="I90" s="16" t="str">
        <x:v>EMP-063</x:v>
      </x:c>
      <x:c r="J90" s="16" t="str">
        <x:v>Aleksandra Lis</x:v>
      </x:c>
      <x:c r="K90" s="16" t="str">
        <x:v>Quality Control</x:v>
      </x:c>
      <x:c r="L90" s="16" t="str"/>
      <x:c r="M90" s="16" t="str">
        <x:v>AGT-001</x:v>
      </x:c>
      <x:c r="N90" s="16" t="str">
        <x:v>Sofia Alvarez</x:v>
      </x:c>
      <x:c r="O90" s="16" t="str">
        <x:v>KB-004</x:v>
      </x:c>
      <x:c r="P90" s="16" t="str">
        <x:v>User cannot sign in to company systems.</x:v>
      </x:c>
      <x:c r="Q90" s="16" t="str">
        <x:v>Identify lockout source, verify identity, and unlock the account.</x:v>
      </x:c>
      <x:c r="R90" s="22" t="n">
        <x:v>0.97</x:v>
      </x:c>
      <x:c r="S90" s="16" t="str">
        <x:v>Yes</x:v>
      </x:c>
      <x:c r="T90" s="16" t="str">
        <x:v>None</x:v>
      </x:c>
      <x:c r="U90" s="16" t="str">
        <x:v>Human response</x:v>
      </x:c>
      <x:c r="V90" s="16" t="str">
        <x:v>Approved</x:v>
      </x:c>
      <x:c r="W90" s="16" t="str">
        <x:v>Synthetic ticket 86; no real customer or personal data.</x:v>
      </x:c>
    </x:row>
    <x:row r="91">
      <x:c r="A91" s="16" t="str">
        <x:v>TKT-0087</x:v>
      </x:c>
      <x:c r="B91" s="16" t="str">
        <x:v>Historical: CertiRice rejects quality certificate</x:v>
      </x:c>
      <x:c r="C91" s="16" t="str">
        <x:v>Business Applications</x:v>
      </x:c>
      <x:c r="D91" s="16" t="str">
        <x:v>SYS-005</x:v>
      </x:c>
      <x:c r="E91" s="16" t="str">
        <x:v>Medium</x:v>
      </x:c>
      <x:c r="F91" s="16" t="str">
        <x:v>Waiting for customer</x:v>
      </x:c>
      <x:c r="G91" s="19" t="n">
        <x:v>46308.5</x:v>
      </x:c>
      <x:c r="H91" s="19" t="str"/>
      <x:c r="I91" s="16" t="str">
        <x:v>EMP-080</x:v>
      </x:c>
      <x:c r="J91" s="16" t="str">
        <x:v>Fatima Tanaka</x:v>
      </x:c>
      <x:c r="K91" s="16" t="str">
        <x:v>Procurement</x:v>
      </x:c>
      <x:c r="L91" s="16" t="str"/>
      <x:c r="M91" s="16" t="str">
        <x:v>AGT-003</x:v>
      </x:c>
      <x:c r="N91" s="16" t="str">
        <x:v>Aisha Rahman</x:v>
      </x:c>
      <x:c r="O91" s="16" t="str">
        <x:v>KB-015</x:v>
      </x:c>
      <x:c r="P91" s="16" t="str">
        <x:v>Certificate cannot be attached to a shipment.</x:v>
      </x:c>
      <x:c r="Q91" s="16" t="str"/>
      <x:c r="R91" s="22" t="n">
        <x:v>0.69</x:v>
      </x:c>
      <x:c r="S91" s="16" t="str">
        <x:v>No</x:v>
      </x:c>
      <x:c r="T91" s="16" t="str">
        <x:v>Low confidence</x:v>
      </x:c>
      <x:c r="U91" s="16" t="str"/>
      <x:c r="V91" s="16" t="str">
        <x:v>Pending</x:v>
      </x:c>
      <x:c r="W91" s="16" t="str">
        <x:v>Synthetic ticket 87; no real customer or personal data.</x:v>
      </x:c>
    </x:row>
    <x:row r="92">
      <x:c r="A92" s="16" t="str">
        <x:v>TKT-0088</x:v>
      </x:c>
      <x:c r="B92" s="16" t="str">
        <x:v>Historical: Approved software installation request</x:v>
      </x:c>
      <x:c r="C92" s="16" t="str">
        <x:v>Service Request</x:v>
      </x:c>
      <x:c r="D92" s="16" t="str">
        <x:v>SYS-015</x:v>
      </x:c>
      <x:c r="E92" s="16" t="str">
        <x:v>Low</x:v>
      </x:c>
      <x:c r="F92" s="16" t="str">
        <x:v>In progress</x:v>
      </x:c>
      <x:c r="G92" s="19" t="n">
        <x:v>46046.5</x:v>
      </x:c>
      <x:c r="H92" s="19" t="str"/>
      <x:c r="I92" s="16" t="str">
        <x:v>EMP-097</x:v>
      </x:c>
      <x:c r="J92" s="16" t="str">
        <x:v>Jakub Pawlak</x:v>
      </x:c>
      <x:c r="K92" s="16" t="str">
        <x:v>IT</x:v>
      </x:c>
      <x:c r="L92" s="16" t="str"/>
      <x:c r="M92" s="16" t="str">
        <x:v>AGT-002</x:v>
      </x:c>
      <x:c r="N92" s="16" t="str">
        <x:v>Liam O'Connor</x:v>
      </x:c>
      <x:c r="O92" s="16" t="str">
        <x:v>KB-022</x:v>
      </x:c>
      <x:c r="P92" s="16" t="str">
        <x:v>Employee requires an approved productivity tool.</x:v>
      </x:c>
      <x:c r="Q92" s="16" t="str"/>
      <x:c r="R92" s="22" t="n">
        <x:v>0.7</x:v>
      </x:c>
      <x:c r="S92" s="16" t="str">
        <x:v>No</x:v>
      </x:c>
      <x:c r="T92" s="16" t="str">
        <x:v>Low confidence</x:v>
      </x:c>
      <x:c r="U92" s="16" t="str"/>
      <x:c r="V92" s="16" t="str">
        <x:v>Pending</x:v>
      </x:c>
      <x:c r="W92" s="16" t="str">
        <x:v>Synthetic ticket 88; no real customer or personal data.</x:v>
      </x:c>
    </x:row>
    <x:row r="93">
      <x:c r="A93" s="16" t="str">
        <x:v>TKT-0089</x:v>
      </x:c>
      <x:c r="B93" s="16" t="str">
        <x:v>Historical: Warehouse scanner will not sync</x:v>
      </x:c>
      <x:c r="C93" s="16" t="str">
        <x:v>Hardware</x:v>
      </x:c>
      <x:c r="D93" s="16" t="str">
        <x:v>SYS-003</x:v>
      </x:c>
      <x:c r="E93" s="16" t="str">
        <x:v>High</x:v>
      </x:c>
      <x:c r="F93" s="16" t="str">
        <x:v>Open</x:v>
      </x:c>
      <x:c r="G93" s="19" t="n">
        <x:v>46120.5</x:v>
      </x:c>
      <x:c r="H93" s="19" t="str"/>
      <x:c r="I93" s="16" t="str">
        <x:v>EMP-014</x:v>
      </x:c>
      <x:c r="J93" s="16" t="str">
        <x:v>Zofia Szymański</x:v>
      </x:c>
      <x:c r="K93" s="16" t="str">
        <x:v>Export Sales</x:v>
      </x:c>
      <x:c r="L93" s="16" t="str">
        <x:v>AST-001</x:v>
      </x:c>
      <x:c r="M93" s="16" t="str">
        <x:v>AGT-002</x:v>
      </x:c>
      <x:c r="N93" s="16" t="str">
        <x:v>Liam O'Connor</x:v>
      </x:c>
      <x:c r="O93" s="16" t="str">
        <x:v>KB-010</x:v>
      </x:c>
      <x:c r="P93" s="16" t="str">
        <x:v>Picking activity is delayed for one operator.</x:v>
      </x:c>
      <x:c r="Q93" s="16" t="str"/>
      <x:c r="R93" s="22" t="n">
        <x:v>0.71</x:v>
      </x:c>
      <x:c r="S93" s="16" t="str">
        <x:v>No</x:v>
      </x:c>
      <x:c r="T93" s="16" t="str">
        <x:v>Low confidence</x:v>
      </x:c>
      <x:c r="U93" s="16" t="str"/>
      <x:c r="V93" s="16" t="str">
        <x:v>Pending</x:v>
      </x:c>
      <x:c r="W93" s="16" t="str">
        <x:v>Synthetic ticket 89; no real customer or personal data.</x:v>
      </x:c>
    </x:row>
    <x:row r="94">
      <x:c r="A94" s="16" t="str">
        <x:v>TKT-0090</x:v>
      </x:c>
      <x:c r="B94" s="16" t="str">
        <x:v>Historical: ShipLink cannot find container</x:v>
      </x:c>
      <x:c r="C94" s="16" t="str">
        <x:v>Business Applications</x:v>
      </x:c>
      <x:c r="D94" s="16" t="str">
        <x:v>SYS-006</x:v>
      </x:c>
      <x:c r="E94" s="16" t="str">
        <x:v>Medium</x:v>
      </x:c>
      <x:c r="F94" s="16" t="str">
        <x:v>Resolved</x:v>
      </x:c>
      <x:c r="G94" s="19" t="n">
        <x:v>46222.5</x:v>
      </x:c>
      <x:c r="H94" s="19" t="n">
        <x:v>46223.5</x:v>
      </x:c>
      <x:c r="I94" s="16" t="str">
        <x:v>EMP-031</x:v>
      </x:c>
      <x:c r="J94" s="16" t="str">
        <x:v>Fatima Kaczmarek</x:v>
      </x:c>
      <x:c r="K94" s="16" t="str">
        <x:v>Logistics</x:v>
      </x:c>
      <x:c r="L94" s="16" t="str"/>
      <x:c r="M94" s="16" t="str">
        <x:v>AGT-003</x:v>
      </x:c>
      <x:c r="N94" s="16" t="str">
        <x:v>Aisha Rahman</x:v>
      </x:c>
      <x:c r="O94" s="16" t="str">
        <x:v>KB-016</x:v>
      </x:c>
      <x:c r="P94" s="16" t="str">
        <x:v>Logistics cannot view carrier tracking.</x:v>
      </x:c>
      <x:c r="Q94" s="16" t="str">
        <x:v>Validate the container reference and refresh the carrier integration.</x:v>
      </x:c>
      <x:c r="R94" s="22" t="n">
        <x:v>0.72</x:v>
      </x:c>
      <x:c r="S94" s="16" t="str">
        <x:v>No</x:v>
      </x:c>
      <x:c r="T94" s="16" t="str">
        <x:v>Low confidence</x:v>
      </x:c>
      <x:c r="U94" s="16" t="str">
        <x:v>AI draft approved</x:v>
      </x:c>
      <x:c r="V94" s="16" t="str">
        <x:v>Corrected</x:v>
      </x:c>
      <x:c r="W94" s="16" t="str">
        <x:v>Synthetic ticket 90; no real customer or personal data.</x:v>
      </x:c>
    </x:row>
    <x:row r="95">
      <x:c r="A95" s="16" t="str">
        <x:v>TKT-0091</x:v>
      </x:c>
      <x:c r="B95" s="16" t="str">
        <x:v>Historical: New employee IT onboarding</x:v>
      </x:c>
      <x:c r="C95" s="16" t="str">
        <x:v>Service Request</x:v>
      </x:c>
      <x:c r="D95" s="16" t="str">
        <x:v>SYS-008</x:v>
      </x:c>
      <x:c r="E95" s="16" t="str">
        <x:v>Medium</x:v>
      </x:c>
      <x:c r="F95" s="16" t="str">
        <x:v>Resolved</x:v>
      </x:c>
      <x:c r="G95" s="19" t="n">
        <x:v>46298.5</x:v>
      </x:c>
      <x:c r="H95" s="19" t="n">
        <x:v>46299.5</x:v>
      </x:c>
      <x:c r="I95" s="16" t="str">
        <x:v>EMP-048</x:v>
      </x:c>
      <x:c r="J95" s="16" t="str">
        <x:v>Marta Bąk</x:v>
      </x:c>
      <x:c r="K95" s="16" t="str">
        <x:v>Warehouse</x:v>
      </x:c>
      <x:c r="L95" s="16" t="str"/>
      <x:c r="M95" s="16" t="str">
        <x:v>AGT-001</x:v>
      </x:c>
      <x:c r="N95" s="16" t="str">
        <x:v>Sofia Alvarez</x:v>
      </x:c>
      <x:c r="O95" s="16" t="str">
        <x:v>KB-023</x:v>
      </x:c>
      <x:c r="P95" s="16" t="str">
        <x:v>New starter requires baseline equipment and access.</x:v>
      </x:c>
      <x:c r="Q95" s="16" t="str">
        <x:v>Provision baseline account, MFA, groups, and assigned device.</x:v>
      </x:c>
      <x:c r="R95" s="22" t="n">
        <x:v>0.73</x:v>
      </x:c>
      <x:c r="S95" s="16" t="str">
        <x:v>No</x:v>
      </x:c>
      <x:c r="T95" s="16" t="str">
        <x:v>Low confidence</x:v>
      </x:c>
      <x:c r="U95" s="16" t="str">
        <x:v>Human response</x:v>
      </x:c>
      <x:c r="V95" s="16" t="str">
        <x:v>Approved</x:v>
      </x:c>
      <x:c r="W95" s="16" t="str">
        <x:v>Synthetic ticket 91; no real customer or personal data.</x:v>
      </x:c>
    </x:row>
    <x:row r="96">
      <x:c r="A96" s="16" t="str">
        <x:v>TKT-0092</x:v>
      </x:c>
      <x:c r="B96" s="16" t="str">
        <x:v>Historical: Label printer produces blank labels</x:v>
      </x:c>
      <x:c r="C96" s="16" t="str">
        <x:v>Hardware</x:v>
      </x:c>
      <x:c r="D96" s="16" t="str">
        <x:v>SYS-013</x:v>
      </x:c>
      <x:c r="E96" s="16" t="str">
        <x:v>High</x:v>
      </x:c>
      <x:c r="F96" s="16" t="str">
        <x:v>Resolved</x:v>
      </x:c>
      <x:c r="G96" s="19" t="n">
        <x:v>46036.5</x:v>
      </x:c>
      <x:c r="H96" s="19" t="n">
        <x:v>46037.5</x:v>
      </x:c>
      <x:c r="I96" s="16" t="str">
        <x:v>EMP-065</x:v>
      </x:c>
      <x:c r="J96" s="16" t="str">
        <x:v>Jakub Pawlak</x:v>
      </x:c>
      <x:c r="K96" s="16" t="str">
        <x:v>Finance</x:v>
      </x:c>
      <x:c r="L96" s="16" t="str">
        <x:v>AST-028</x:v>
      </x:c>
      <x:c r="M96" s="16" t="str">
        <x:v>AGT-002</x:v>
      </x:c>
      <x:c r="N96" s="16" t="str">
        <x:v>Liam O'Connor</x:v>
      </x:c>
      <x:c r="O96" s="16" t="str">
        <x:v>KB-009</x:v>
      </x:c>
      <x:c r="P96" s="16" t="str">
        <x:v>Outbound pallet labeling is delayed.</x:v>
      </x:c>
      <x:c r="Q96" s="16" t="str">
        <x:v>Reload media, calibrate printer, and restart the managed print queue.</x:v>
      </x:c>
      <x:c r="R96" s="22" t="n">
        <x:v>0.74</x:v>
      </x:c>
      <x:c r="S96" s="16" t="str">
        <x:v>No</x:v>
      </x:c>
      <x:c r="T96" s="16" t="str">
        <x:v>Low confidence</x:v>
      </x:c>
      <x:c r="U96" s="16" t="str">
        <x:v>Human-edited AI draft</x:v>
      </x:c>
      <x:c r="V96" s="16" t="str">
        <x:v>Approved</x:v>
      </x:c>
      <x:c r="W96" s="16" t="str">
        <x:v>Synthetic ticket 92; no real customer or personal data.</x:v>
      </x:c>
    </x:row>
    <x:row r="97">
      <x:c r="A97" s="16" t="str">
        <x:v>TKT-0093</x:v>
      </x:c>
      <x:c r="B97" s="16" t="str">
        <x:v>Historical: Deleted pricing workbook in SharePoint</x:v>
      </x:c>
      <x:c r="C97" s="16" t="str">
        <x:v>Collaboration</x:v>
      </x:c>
      <x:c r="D97" s="16" t="str">
        <x:v>SYS-010</x:v>
      </x:c>
      <x:c r="E97" s="16" t="str">
        <x:v>High</x:v>
      </x:c>
      <x:c r="F97" s="16" t="str">
        <x:v>Resolved</x:v>
      </x:c>
      <x:c r="G97" s="19" t="n">
        <x:v>46137.5</x:v>
      </x:c>
      <x:c r="H97" s="19" t="n">
        <x:v>46138.5</x:v>
      </x:c>
      <x:c r="I97" s="16" t="str">
        <x:v>EMP-082</x:v>
      </x:c>
      <x:c r="J97" s="16" t="str">
        <x:v>Marta Dąbrowski</x:v>
      </x:c>
      <x:c r="K97" s="16" t="str">
        <x:v>Operations</x:v>
      </x:c>
      <x:c r="L97" s="16" t="str"/>
      <x:c r="M97" s="16" t="str">
        <x:v>AGT-003</x:v>
      </x:c>
      <x:c r="N97" s="16" t="str">
        <x:v>Aisha Rahman</x:v>
      </x:c>
      <x:c r="O97" s="16" t="str">
        <x:v>KB-017</x:v>
      </x:c>
      <x:c r="P97" s="16" t="str">
        <x:v>Sales team needs a recently deleted file.</x:v>
      </x:c>
      <x:c r="Q97" s="16" t="str">
        <x:v>Restore the correct retained version from the SharePoint recycle bin.</x:v>
      </x:c>
      <x:c r="R97" s="22" t="n">
        <x:v>0.75</x:v>
      </x:c>
      <x:c r="S97" s="16" t="str">
        <x:v>No</x:v>
      </x:c>
      <x:c r="T97" s="16" t="str">
        <x:v>Low confidence</x:v>
      </x:c>
      <x:c r="U97" s="16" t="str">
        <x:v>AI draft approved</x:v>
      </x:c>
      <x:c r="V97" s="16" t="str">
        <x:v>Approved</x:v>
      </x:c>
      <x:c r="W97" s="16" t="str">
        <x:v>Synthetic ticket 93; no real customer or personal data.</x:v>
      </x:c>
    </x:row>
    <x:row r="98">
      <x:c r="A98" s="16" t="str">
        <x:v>TKT-0094</x:v>
      </x:c>
      <x:c r="B98" s="16" t="str">
        <x:v>Historical: Employee offboarding request</x:v>
      </x:c>
      <x:c r="C98" s="16" t="str">
        <x:v>Security</x:v>
      </x:c>
      <x:c r="D98" s="16" t="str">
        <x:v>SYS-008</x:v>
      </x:c>
      <x:c r="E98" s="16" t="str">
        <x:v>High</x:v>
      </x:c>
      <x:c r="F98" s="16" t="str">
        <x:v>Resolved</x:v>
      </x:c>
      <x:c r="G98" s="19" t="n">
        <x:v>46212.5</x:v>
      </x:c>
      <x:c r="H98" s="19" t="n">
        <x:v>46213.5</x:v>
      </x:c>
      <x:c r="I98" s="16" t="str">
        <x:v>EMP-099</x:v>
      </x:c>
      <x:c r="J98" s="16" t="str">
        <x:v>Sofia Zając</x:v>
      </x:c>
      <x:c r="K98" s="16" t="str">
        <x:v>IT</x:v>
      </x:c>
      <x:c r="L98" s="16" t="str">
        <x:v>AST-046</x:v>
      </x:c>
      <x:c r="M98" s="16" t="str">
        <x:v>AGT-005</x:v>
      </x:c>
      <x:c r="N98" s="16" t="str">
        <x:v>Yuki Tanaka</x:v>
      </x:c>
      <x:c r="O98" s="16" t="str">
        <x:v>KB-024</x:v>
      </x:c>
      <x:c r="P98" s="16" t="str">
        <x:v>Departing employee access must end on schedule.</x:v>
      </x:c>
      <x:c r="Q98" s="16" t="str">
        <x:v>Disable access, revoke sessions, preserve data, and recover assets.</x:v>
      </x:c>
      <x:c r="R98" s="22" t="n">
        <x:v>0.76</x:v>
      </x:c>
      <x:c r="S98" s="16" t="str">
        <x:v>No</x:v>
      </x:c>
      <x:c r="T98" s="16" t="str">
        <x:v>Mandatory security escalation</x:v>
      </x:c>
      <x:c r="U98" s="16" t="str">
        <x:v>Human response</x:v>
      </x:c>
      <x:c r="V98" s="16" t="str">
        <x:v>Approved</x:v>
      </x:c>
      <x:c r="W98" s="16" t="str">
        <x:v>Synthetic ticket 94; no real customer or personal data.</x:v>
      </x:c>
    </x:row>
    <x:row r="99">
      <x:c r="A99" s="16" t="str">
        <x:v>TKT-0095</x:v>
      </x:c>
      <x:c r="B99" s="16" t="str">
        <x:v>Historical: Laptop screen flickers through dock</x:v>
      </x:c>
      <x:c r="C99" s="16" t="str">
        <x:v>Hardware</x:v>
      </x:c>
      <x:c r="D99" s="16" t="str">
        <x:v>SYS-015</x:v>
      </x:c>
      <x:c r="E99" s="16" t="str">
        <x:v>Low</x:v>
      </x:c>
      <x:c r="F99" s="16" t="str">
        <x:v>Closed</x:v>
      </x:c>
      <x:c r="G99" s="19" t="n">
        <x:v>46315.5</x:v>
      </x:c>
      <x:c r="H99" s="19" t="n">
        <x:v>46316.5</x:v>
      </x:c>
      <x:c r="I99" s="16" t="str">
        <x:v>EMP-016</x:v>
      </x:c>
      <x:c r="J99" s="16" t="str">
        <x:v>Marta Bąk</x:v>
      </x:c>
      <x:c r="K99" s="16" t="str">
        <x:v>Export Sales</x:v>
      </x:c>
      <x:c r="L99" s="16" t="str"/>
      <x:c r="M99" s="16" t="str">
        <x:v>AGT-002</x:v>
      </x:c>
      <x:c r="N99" s="16" t="str">
        <x:v>Liam O'Connor</x:v>
      </x:c>
      <x:c r="O99" s="16" t="str">
        <x:v>KB-008</x:v>
      </x:c>
      <x:c r="P99" s="16" t="str">
        <x:v>Employee can work using the laptop display.</x:v>
      </x:c>
      <x:c r="Q99" s="16" t="str">
        <x:v>Update dock firmware and replace the display cable.</x:v>
      </x:c>
      <x:c r="R99" s="22" t="n">
        <x:v>0.77</x:v>
      </x:c>
      <x:c r="S99" s="16" t="str">
        <x:v>No</x:v>
      </x:c>
      <x:c r="T99" s="16" t="str">
        <x:v>Low confidence</x:v>
      </x:c>
      <x:c r="U99" s="16" t="str">
        <x:v>Human response</x:v>
      </x:c>
      <x:c r="V99" s="16" t="str">
        <x:v>Approved</x:v>
      </x:c>
      <x:c r="W99" s="16" t="str">
        <x:v>Synthetic ticket 95; no real customer or personal data.</x:v>
      </x:c>
    </x:row>
    <x:row r="100">
      <x:c r="A100" s="16" t="str">
        <x:v>TKT-0096</x:v>
      </x:c>
      <x:c r="B100" s="16" t="str">
        <x:v>Historical: Teams microphone not detected</x:v>
      </x:c>
      <x:c r="C100" s="16" t="str">
        <x:v>Collaboration</x:v>
      </x:c>
      <x:c r="D100" s="16" t="str">
        <x:v>SYS-011</x:v>
      </x:c>
      <x:c r="E100" s="16" t="str">
        <x:v>Low</x:v>
      </x:c>
      <x:c r="F100" s="16" t="str">
        <x:v>Closed</x:v>
      </x:c>
      <x:c r="G100" s="19" t="n">
        <x:v>46026.5</x:v>
      </x:c>
      <x:c r="H100" s="19" t="n">
        <x:v>46027.5</x:v>
      </x:c>
      <x:c r="I100" s="16" t="str">
        <x:v>EMP-033</x:v>
      </x:c>
      <x:c r="J100" s="16" t="str">
        <x:v>Hanna Mazur</x:v>
      </x:c>
      <x:c r="K100" s="16" t="str">
        <x:v>Warehouse</x:v>
      </x:c>
      <x:c r="L100" s="16" t="str"/>
      <x:c r="M100" s="16" t="str">
        <x:v>AGT-002</x:v>
      </x:c>
      <x:c r="N100" s="16" t="str">
        <x:v>Liam O'Connor</x:v>
      </x:c>
      <x:c r="O100" s="16" t="str">
        <x:v>KB-018</x:v>
      </x:c>
      <x:c r="P100" s="16" t="str">
        <x:v>User cannot speak during calls.</x:v>
      </x:c>
      <x:c r="Q100" s="16" t="str">
        <x:v>Select the correct device and restore OS microphone permission.</x:v>
      </x:c>
      <x:c r="R100" s="22" t="n">
        <x:v>0.78</x:v>
      </x:c>
      <x:c r="S100" s="16" t="str">
        <x:v>No</x:v>
      </x:c>
      <x:c r="T100" s="16" t="str">
        <x:v>Low confidence</x:v>
      </x:c>
      <x:c r="U100" s="16" t="str">
        <x:v>Human-edited AI draft</x:v>
      </x:c>
      <x:c r="V100" s="16" t="str">
        <x:v>Approved</x:v>
      </x:c>
      <x:c r="W100" s="16" t="str">
        <x:v>Synthetic ticket 96; no real customer or personal data.</x:v>
      </x:c>
    </x:row>
    <x:row r="101">
      <x:c r="A101" s="16" t="str">
        <x:v>TKT-0097</x:v>
      </x:c>
      <x:c r="B101" s="16" t="str">
        <x:v>Historical: Warehouse Wi-Fi unavailable</x:v>
      </x:c>
      <x:c r="C101" s="16" t="str">
        <x:v>Network &amp; VPN</x:v>
      </x:c>
      <x:c r="D101" s="16" t="str">
        <x:v>SYS-014</x:v>
      </x:c>
      <x:c r="E101" s="16" t="str">
        <x:v>Critical</x:v>
      </x:c>
      <x:c r="F101" s="16" t="str">
        <x:v>Waiting for customer</x:v>
      </x:c>
      <x:c r="G101" s="19" t="n">
        <x:v>46127.5</x:v>
      </x:c>
      <x:c r="H101" s="19" t="str"/>
      <x:c r="I101" s="16" t="str">
        <x:v>EMP-050</x:v>
      </x:c>
      <x:c r="J101" s="16" t="str">
        <x:v>Carlos Kowalski</x:v>
      </x:c>
      <x:c r="K101" s="16" t="str">
        <x:v>Warehouse</x:v>
      </x:c>
      <x:c r="L101" s="16" t="str">
        <x:v>AST-040</x:v>
      </x:c>
      <x:c r="M101" s="16" t="str">
        <x:v>AGT-004</x:v>
      </x:c>
      <x:c r="N101" s="16" t="str">
        <x:v>Mateusz Kowalski</x:v>
      </x:c>
      <x:c r="O101" s="16" t="str">
        <x:v>KB-025</x:v>
      </x:c>
      <x:c r="P101" s="16" t="str">
        <x:v>Multiple warehouse devices are offline.</x:v>
      </x:c>
      <x:c r="Q101" s="16" t="str"/>
      <x:c r="R101" s="22" t="n">
        <x:v>0.79</x:v>
      </x:c>
      <x:c r="S101" s="16" t="str">
        <x:v>No</x:v>
      </x:c>
      <x:c r="T101" s="16" t="str">
        <x:v>Major incident review</x:v>
      </x:c>
      <x:c r="U101" s="16" t="str"/>
      <x:c r="V101" s="16" t="str">
        <x:v>Pending</x:v>
      </x:c>
      <x:c r="W101" s="16" t="str">
        <x:v>Synthetic ticket 97; no real customer or personal data.</x:v>
      </x:c>
    </x:row>
    <x:row r="102">
      <x:c r="A102" s="16" t="str">
        <x:v>TKT-0098</x:v>
      </x:c>
      <x:c r="B102" s="16" t="str">
        <x:v>Historical: RiceFlow invoice export fails</x:v>
      </x:c>
      <x:c r="C102" s="16" t="str">
        <x:v>Business Applications</x:v>
      </x:c>
      <x:c r="D102" s="16" t="str">
        <x:v>SYS-002</x:v>
      </x:c>
      <x:c r="E102" s="16" t="str">
        <x:v>High</x:v>
      </x:c>
      <x:c r="F102" s="16" t="str">
        <x:v>In progress</x:v>
      </x:c>
      <x:c r="G102" s="19" t="n">
        <x:v>46229.5</x:v>
      </x:c>
      <x:c r="H102" s="19" t="str"/>
      <x:c r="I102" s="16" t="str">
        <x:v>EMP-067</x:v>
      </x:c>
      <x:c r="J102" s="16" t="str">
        <x:v>Sofia Zając</x:v>
      </x:c>
      <x:c r="K102" s="16" t="str">
        <x:v>Finance</x:v>
      </x:c>
      <x:c r="L102" s="16" t="str"/>
      <x:c r="M102" s="16" t="str">
        <x:v>AGT-003</x:v>
      </x:c>
      <x:c r="N102" s="16" t="str">
        <x:v>Aisha Rahman</x:v>
      </x:c>
      <x:c r="O102" s="16" t="str">
        <x:v>KB-012</x:v>
      </x:c>
      <x:c r="P102" s="16" t="str">
        <x:v>Finance cannot complete the daily invoice batch.</x:v>
      </x:c>
      <x:c r="Q102" s="16" t="str"/>
      <x:c r="R102" s="22" t="n">
        <x:v>0.8</x:v>
      </x:c>
      <x:c r="S102" s="16" t="str">
        <x:v>Yes</x:v>
      </x:c>
      <x:c r="T102" s="16" t="str">
        <x:v>None</x:v>
      </x:c>
      <x:c r="U102" s="16" t="str"/>
      <x:c r="V102" s="16" t="str">
        <x:v>Pending</x:v>
      </x:c>
      <x:c r="W102" s="16" t="str">
        <x:v>Synthetic ticket 98; no real customer or personal data.</x:v>
      </x:c>
    </x:row>
    <x:row r="103">
      <x:c r="A103" s="16" t="str">
        <x:v>TKT-0099</x:v>
      </x:c>
      <x:c r="B103" s="16" t="str">
        <x:v>Historical: Suspicious invoice email received</x:v>
      </x:c>
      <x:c r="C103" s="16" t="str">
        <x:v>Security</x:v>
      </x:c>
      <x:c r="D103" s="16" t="str">
        <x:v>SYS-016</x:v>
      </x:c>
      <x:c r="E103" s="16" t="str">
        <x:v>Critical</x:v>
      </x:c>
      <x:c r="F103" s="16" t="str">
        <x:v>Open</x:v>
      </x:c>
      <x:c r="G103" s="19" t="n">
        <x:v>46305.5</x:v>
      </x:c>
      <x:c r="H103" s="19" t="str"/>
      <x:c r="I103" s="16" t="str">
        <x:v>EMP-084</x:v>
      </x:c>
      <x:c r="J103" s="16" t="str">
        <x:v>Carlos Lewandowski</x:v>
      </x:c>
      <x:c r="K103" s="16" t="str">
        <x:v>Operations</x:v>
      </x:c>
      <x:c r="L103" s="16" t="str"/>
      <x:c r="M103" s="16" t="str">
        <x:v>AGT-005</x:v>
      </x:c>
      <x:c r="N103" s="16" t="str">
        <x:v>Yuki Tanaka</x:v>
      </x:c>
      <x:c r="O103" s="16" t="str">
        <x:v>KB-019</x:v>
      </x:c>
      <x:c r="P103" s="16" t="str">
        <x:v>Potential phishing attempt targeting Finance.</x:v>
      </x:c>
      <x:c r="Q103" s="16" t="str"/>
      <x:c r="R103" s="22" t="n">
        <x:v>0.81</x:v>
      </x:c>
      <x:c r="S103" s="16" t="str">
        <x:v>No</x:v>
      </x:c>
      <x:c r="T103" s="16" t="str">
        <x:v>Mandatory security escalation</x:v>
      </x:c>
      <x:c r="U103" s="16" t="str"/>
      <x:c r="V103" s="16" t="str">
        <x:v>Pending</x:v>
      </x:c>
      <x:c r="W103" s="16" t="str">
        <x:v>Synthetic ticket 99; no real customer or personal data.</x:v>
      </x:c>
    </x:row>
    <x:row r="104">
      <x:c r="A104" s="17" t="str">
        <x:v>TKT-0100</x:v>
      </x:c>
      <x:c r="B104" s="17" t="str">
        <x:v>Historical: VPN authentication fails after password change</x:v>
      </x:c>
      <x:c r="C104" s="17" t="str">
        <x:v>Network &amp; VPN</x:v>
      </x:c>
      <x:c r="D104" s="17" t="str">
        <x:v>SYS-007</x:v>
      </x:c>
      <x:c r="E104" s="17" t="str">
        <x:v>Medium</x:v>
      </x:c>
      <x:c r="F104" s="17" t="str">
        <x:v>Resolved</x:v>
      </x:c>
      <x:c r="G104" s="20" t="n">
        <x:v>46043.5</x:v>
      </x:c>
      <x:c r="H104" s="20" t="n">
        <x:v>46044.5</x:v>
      </x:c>
      <x:c r="I104" s="17" t="str">
        <x:v>EMP-001</x:v>
      </x:c>
      <x:c r="J104" s="17" t="str">
        <x:v>Hanna Mazur</x:v>
      </x:c>
      <x:c r="K104" s="17" t="str">
        <x:v>Export Sales</x:v>
      </x:c>
      <x:c r="L104" s="17" t="str"/>
      <x:c r="M104" s="17" t="str">
        <x:v>AGT-004</x:v>
      </x:c>
      <x:c r="N104" s="17" t="str">
        <x:v>Mateusz Kowalski</x:v>
      </x:c>
      <x:c r="O104" s="17" t="str">
        <x:v>KB-002</x:v>
      </x:c>
      <x:c r="P104" s="17" t="str">
        <x:v>User cannot reach internal resources remotely.</x:v>
      </x:c>
      <x:c r="Q104" s="17" t="str">
        <x:v>Clear cached VPN credentials and authenticate with the new password.</x:v>
      </x:c>
      <x:c r="R104" s="23" t="n">
        <x:v>0.82</x:v>
      </x:c>
      <x:c r="S104" s="17" t="str">
        <x:v>Yes</x:v>
      </x:c>
      <x:c r="T104" s="17" t="str">
        <x:v>None</x:v>
      </x:c>
      <x:c r="U104" s="17" t="str">
        <x:v>Human-edited AI draft</x:v>
      </x:c>
      <x:c r="V104" s="17" t="str">
        <x:v>Approved</x:v>
      </x:c>
      <x:c r="W104" s="17" t="str">
        <x:v>Synthetic ticket 100; no real customer or personal data.</x:v>
      </x:c>
    </x:row>
  </x:sheetData>
  <x:mergeCells>
    <x:mergeCell ref="A1:W1"/>
    <x:mergeCell ref="A2:W2"/>
  </x:mergeCells>
  <x:conditionalFormatting sqref="E5:E104">
    <x:cfRule type="containsText" dxfId="0" priority="1" operator="containsText" text="Critical"/>
  </x:conditionalFormatting>
  <x:conditionalFormatting sqref="F5:F104">
    <x:cfRule type="containsText" dxfId="1" priority="2" operator="containsText" text="Resolved"/>
  </x:conditionalFormatting>
  <x:conditionalFormatting sqref="R5:R104">
    <x:cfRule type="colorScale" priority="3">
      <x:colorScale>
        <x:cfvo type="min"/>
        <x:cfvo type="percentile" val="50"/>
        <x:cfvo type="max"/>
        <x:color rgb="FFFEE4E2"/>
        <x:color rgb="FFFFF4D6"/>
        <x:color rgb="FFE7F3EC"/>
      </x:colorScale>
    </x:cfRule>
  </x:conditionalFormatting>
  <x:pageMargins left="0.7" right="0.7" top="0.75" bottom="0.75" header="0.3" footer="0.3"/>
  <x:tableParts count="1">
    <x:tablePart xmlns:r="http://schemas.openxmlformats.org/officeDocument/2006/relationships" r:id="R3d22ae348d9347d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3" hidden="0" customWidth="1"/>
    <x:col min="2" max="2" width="23" hidden="0" customWidth="1"/>
    <x:col min="3" max="3" width="48" hidden="0" customWidth="1"/>
    <x:col min="4" max="4" width="52" hidden="0" customWidth="1"/>
  </x:cols>
  <x:sheetData>
    <x:row r="1" ht="30" customHeight="1">
      <x:c r="A1" s="3" t="str">
        <x:v>Data Dictionary</x:v>
      </x:c>
      <x:c r="B1" s="3"/>
      <x:c r="C1" s="3"/>
      <x:c r="D1" s="3"/>
    </x:row>
    <x:row r="2" ht="24" customHeight="1">
      <x:c r="A2" s="6" t="str">
        <x:v>Table-level definitions and relationships for developers and reviewers.</x:v>
      </x:c>
      <x:c r="B2" s="6"/>
      <x:c r="C2" s="6"/>
      <x:c r="D2" s="6"/>
    </x:row>
    <x:row r="4">
      <x:c r="A4" s="8" t="str">
        <x:v>Table</x:v>
      </x:c>
      <x:c r="B4" s="8" t="str">
        <x:v>Primary key</x:v>
      </x:c>
      <x:c r="C4" s="8" t="str">
        <x:v>Important foreign keys</x:v>
      </x:c>
      <x:c r="D4" s="8" t="str">
        <x:v>Description</x:v>
      </x:c>
    </x:row>
    <x:row r="5">
      <x:c r="A5" s="79" t="str">
        <x:v>Employees</x:v>
      </x:c>
      <x:c r="B5" s="79" t="str">
        <x:v>employee_id</x:v>
      </x:c>
      <x:c r="C5" s="79" t="str">
        <x:v>manager_employee_id → Employees</x:v>
      </x:c>
      <x:c r="D5" s="79" t="str">
        <x:v>Synthetic workforce used as ticket requesters and asset owners.</x:v>
      </x:c>
    </x:row>
    <x:row r="6">
      <x:c r="A6" s="80" t="str">
        <x:v>Assets</x:v>
      </x:c>
      <x:c r="B6" s="80" t="str">
        <x:v>asset_id</x:v>
      </x:c>
      <x:c r="C6" s="80" t="str">
        <x:v>assigned_employee_id → Employees</x:v>
      </x:c>
      <x:c r="D6" s="80" t="str">
        <x:v>Synthetic IT equipment inventory.</x:v>
      </x:c>
    </x:row>
    <x:row r="7">
      <x:c r="A7" s="80" t="str">
        <x:v>Systems</x:v>
      </x:c>
      <x:c r="B7" s="80" t="str">
        <x:v>system_id</x:v>
      </x:c>
      <x:c r="C7" s="80" t="str">
        <x:v>None</x:v>
      </x:c>
      <x:c r="D7" s="80" t="str">
        <x:v>Applications, platforms, and infrastructure services.</x:v>
      </x:c>
    </x:row>
    <x:row r="8">
      <x:c r="A8" s="80" t="str">
        <x:v>Agents</x:v>
      </x:c>
      <x:c r="B8" s="80" t="str">
        <x:v>agent_id</x:v>
      </x:c>
      <x:c r="C8" s="80" t="str">
        <x:v>jira_profile_issue → SUP project</x:v>
      </x:c>
      <x:c r="D8" s="80" t="str">
        <x:v>Fictional routing personas; not real Jira user accounts.</x:v>
      </x:c>
    </x:row>
    <x:row r="9">
      <x:c r="A9" s="80" t="str">
        <x:v>Knowledge Base</x:v>
      </x:c>
      <x:c r="B9" s="80" t="str">
        <x:v>article_id</x:v>
      </x:c>
      <x:c r="C9" s="80" t="str">
        <x:v>system_id → Systems</x:v>
      </x:c>
      <x:c r="D9" s="80" t="str">
        <x:v>Approved synthetic guidance used for grounded responses.</x:v>
      </x:c>
    </x:row>
    <x:row r="10">
      <x:c r="A10" s="81" t="str">
        <x:v>Historical Tickets</x:v>
      </x:c>
      <x:c r="B10" s="81" t="str">
        <x:v>ticket_id</x:v>
      </x:c>
      <x:c r="C10" s="81" t="str">
        <x:v>requester_employee_id, asset_id, system_id, assigned_agent_id, knowledge_article_id</x:v>
      </x:c>
      <x:c r="D10" s="81" t="str">
        <x:v>Labeled examples for evaluation, retrieval, and feedback workflows.</x:v>
      </x:c>
    </x:row>
  </x:sheetData>
  <x:mergeCells>
    <x:mergeCell ref="A1:D1"/>
    <x:mergeCell ref="A2:D2"/>
  </x:mergeCells>
  <x:pageMargins left="0.7" right="0.7" top="0.75" bottom="0.75" header="0.3" footer="0.3"/>
</x:worksheet>
</file>